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embeddings/oleObject1.bin" ContentType="application/vnd.openxmlformats-officedocument.oleObject"/>
  <Override PartName="/xl/comments2.xml" ContentType="application/vnd.openxmlformats-officedocument.spreadsheetml.comments+xml"/>
  <Override PartName="/xl/drawings/drawing2.xml" ContentType="application/vnd.openxmlformats-officedocument.drawing+xml"/>
  <Override PartName="/xl/embeddings/oleObject2.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EstaPasta_de_trabalho" defaultThemeVersion="124226"/>
  <mc:AlternateContent xmlns:mc="http://schemas.openxmlformats.org/markup-compatibility/2006">
    <mc:Choice Requires="x15">
      <x15ac:absPath xmlns:x15ac="http://schemas.microsoft.com/office/spreadsheetml/2010/11/ac" url="H:\2025\Obras\11-SIN-Cobertura_Quadra_PM-Nova_Cruz\BM\02\"/>
    </mc:Choice>
  </mc:AlternateContent>
  <xr:revisionPtr revIDLastSave="0" documentId="13_ncr:1_{A75E5F34-82F5-4307-A80B-548C682893D7}" xr6:coauthVersionLast="47" xr6:coauthVersionMax="47" xr10:uidLastSave="{00000000-0000-0000-0000-000000000000}"/>
  <bookViews>
    <workbookView xWindow="-20610" yWindow="-120" windowWidth="20730" windowHeight="11040" activeTab="1" xr2:uid="{DB25C8E8-1B3A-463C-8F81-5C7775D33E89}"/>
  </bookViews>
  <sheets>
    <sheet name="DADOS" sheetId="50" r:id="rId1"/>
    <sheet name="PLANILHA" sheetId="53" r:id="rId2"/>
    <sheet name="M. DE CÁLCULO" sheetId="57" r:id="rId3"/>
  </sheets>
  <externalReferences>
    <externalReference r:id="rId4"/>
    <externalReference r:id="rId5"/>
    <externalReference r:id="rId6"/>
    <externalReference r:id="rId7"/>
    <externalReference r:id="rId8"/>
    <externalReference r:id="rId9"/>
    <externalReference r:id="rId10"/>
  </externalReferences>
  <definedNames>
    <definedName name="_xlnm._FilterDatabase" localSheetId="2" hidden="1">'M. DE CÁLCULO'!$O$14:$O$177</definedName>
    <definedName name="_xlnm._FilterDatabase" localSheetId="1" hidden="1">PLANILHA!$A$12:$W$69</definedName>
    <definedName name="A">[1]ANÁLISE!$BI$17:$BI$2000</definedName>
    <definedName name="AAA">#REF!</definedName>
    <definedName name="ANA">#REF!</definedName>
    <definedName name="Análise">#REF!</definedName>
    <definedName name="_xlnm.Print_Area" localSheetId="0">DADOS!$A$1:$P$38</definedName>
    <definedName name="_xlnm.Print_Area" localSheetId="2">'M. DE CÁLCULO'!$A$1:$N$177</definedName>
    <definedName name="_xlnm.Print_Area" localSheetId="1">PLANILHA!$A$1:$N$93</definedName>
    <definedName name="COMPOSIÇÕES">#REF!</definedName>
    <definedName name="CR">#REF!</definedName>
    <definedName name="DADOS">#REF!</definedName>
    <definedName name="DESC">[2]DADOS_READ!$C$19:$G$1500</definedName>
    <definedName name="IC" localSheetId="2">[3]ANÁLISE!#REF!</definedName>
    <definedName name="IC" localSheetId="1">'[4]ANÁLISE PREÇO'!#REF!</definedName>
    <definedName name="IC">#REF!</definedName>
    <definedName name="II">#REF!</definedName>
    <definedName name="IL">[2]LOCAIS!$C$6:$C$46</definedName>
    <definedName name="IM">#REF!</definedName>
    <definedName name="IS" localSheetId="2">[3]ANÁLISE!#REF!</definedName>
    <definedName name="IS" localSheetId="1">'[4]ANÁLISE PREÇO'!#REF!</definedName>
    <definedName name="IS">#REF!</definedName>
    <definedName name="IT">#REF!</definedName>
    <definedName name="MTX_READ">[2]DADOS_READ!$C$19:$M$1501</definedName>
    <definedName name="ORÇAMENTO">[5]Orçamento!$1:$1048576</definedName>
    <definedName name="orçasin">'[6]ORÇA. ANÁLISE'!$A$9:$G$266</definedName>
    <definedName name="PAD">[2]DADOS_BASICOS!$D$25</definedName>
    <definedName name="S">#REF!</definedName>
    <definedName name="S_1">#REF!</definedName>
    <definedName name="S_10">#REF!</definedName>
    <definedName name="S_11">#REF!</definedName>
    <definedName name="S_12">#REF!</definedName>
    <definedName name="S_2">#REF!</definedName>
    <definedName name="S_3">#REF!</definedName>
    <definedName name="S_4">#REF!</definedName>
    <definedName name="S_5">#REF!</definedName>
    <definedName name="S_6">#REF!</definedName>
    <definedName name="S_7">#REF!</definedName>
    <definedName name="S_8">#REF!</definedName>
    <definedName name="S_9">#REF!</definedName>
    <definedName name="SD">[2]READ!$H$1513</definedName>
    <definedName name="T_1">#REF!</definedName>
    <definedName name="T_10">#REF!</definedName>
    <definedName name="T_11">#REF!</definedName>
    <definedName name="T_12">#REF!</definedName>
    <definedName name="T_2">#REF!</definedName>
    <definedName name="T_3">#REF!</definedName>
    <definedName name="T_4">#REF!</definedName>
    <definedName name="T_5">#REF!</definedName>
    <definedName name="T_6">#REF!</definedName>
    <definedName name="T_7">#REF!</definedName>
    <definedName name="T_8">#REF!</definedName>
    <definedName name="T_9">#REF!</definedName>
    <definedName name="TG">#REF!</definedName>
    <definedName name="_xlnm.Print_Titles" localSheetId="2">'M. DE CÁLCULO'!$1:$15</definedName>
    <definedName name="_xlnm.Print_Titles" localSheetId="1">PLANILHA!$1:$12</definedName>
    <definedName name="TVA">[2]MEDIÇÃO!$S$1502</definedName>
    <definedName name="TVM">[2]MEDIÇÃO!$T$1502</definedName>
    <definedName name="TVP">[2]MEDIÇÃO!$O$1502</definedName>
    <definedName name="TVR">[2]MEDIÇÃO!$P$1502</definedName>
    <definedName name="TVS">[2]MEDIÇÃO!$V$1502</definedName>
    <definedName name="VL_LICITADO">[2]READ!$H$1508</definedName>
    <definedName name="VPL">[2]READ!$H$1508</definedName>
    <definedName name="VPR">[2]READ!$H$1512</definedName>
  </definedNames>
  <calcPr calcId="191029" fullPrecision="0"/>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9" i="53" l="1"/>
  <c r="K13" i="53"/>
  <c r="K14" i="53" l="1"/>
  <c r="K57" i="57"/>
  <c r="S20" i="53"/>
  <c r="K65" i="57"/>
  <c r="K69" i="57"/>
  <c r="K159" i="57"/>
  <c r="K158" i="57"/>
  <c r="K156" i="57"/>
  <c r="K155" i="57"/>
  <c r="K151" i="57"/>
  <c r="K150" i="57"/>
  <c r="K148" i="57"/>
  <c r="K147" i="57"/>
  <c r="K75" i="57"/>
  <c r="K74" i="57"/>
  <c r="K46" i="57" l="1"/>
  <c r="T74" i="53"/>
  <c r="L37" i="57" l="1"/>
  <c r="A161" i="57"/>
  <c r="C161" i="57" s="1"/>
  <c r="A162" i="57"/>
  <c r="M162" i="57" s="1"/>
  <c r="N162" i="57" s="1"/>
  <c r="L162" i="57"/>
  <c r="B161" i="57" l="1"/>
  <c r="B162" i="57"/>
  <c r="C162" i="57"/>
  <c r="L153" i="57" l="1"/>
  <c r="L44" i="57" l="1"/>
  <c r="A17" i="57" l="1"/>
  <c r="B17" i="57" s="1"/>
  <c r="E9" i="53" l="1"/>
  <c r="F9" i="53"/>
  <c r="B81" i="57" l="1"/>
  <c r="A124" i="57"/>
  <c r="B124" i="57" s="1"/>
  <c r="A125" i="57"/>
  <c r="A128" i="57"/>
  <c r="A131" i="57"/>
  <c r="A134" i="57"/>
  <c r="A121" i="57"/>
  <c r="A118" i="57"/>
  <c r="A115" i="57"/>
  <c r="A112" i="57"/>
  <c r="A109" i="57"/>
  <c r="A106" i="57"/>
  <c r="A103" i="57"/>
  <c r="A100" i="57"/>
  <c r="A97" i="57"/>
  <c r="A94" i="57"/>
  <c r="A37" i="57"/>
  <c r="K68" i="53"/>
  <c r="K67" i="53"/>
  <c r="K66" i="53"/>
  <c r="K65" i="53"/>
  <c r="K63" i="53"/>
  <c r="K62" i="53" s="1"/>
  <c r="K61" i="53"/>
  <c r="K60" i="53"/>
  <c r="K59" i="53" s="1"/>
  <c r="K57" i="53"/>
  <c r="K58" i="53"/>
  <c r="K55" i="53"/>
  <c r="K54" i="53"/>
  <c r="K53" i="53"/>
  <c r="K52" i="53"/>
  <c r="K38" i="53"/>
  <c r="K39" i="53"/>
  <c r="K40" i="53"/>
  <c r="K41" i="53"/>
  <c r="K42" i="53"/>
  <c r="K43" i="53"/>
  <c r="K44" i="53"/>
  <c r="K45" i="53"/>
  <c r="K46" i="53"/>
  <c r="K47" i="53"/>
  <c r="K48" i="53"/>
  <c r="K49" i="53"/>
  <c r="K50" i="53"/>
  <c r="K37" i="53"/>
  <c r="K35" i="53"/>
  <c r="K34" i="53" s="1"/>
  <c r="K33" i="53"/>
  <c r="K32" i="53" s="1"/>
  <c r="K31" i="53"/>
  <c r="K30" i="53"/>
  <c r="K29" i="53" s="1"/>
  <c r="K28" i="53"/>
  <c r="K27" i="53"/>
  <c r="K26" i="53"/>
  <c r="S28" i="53"/>
  <c r="K23" i="53"/>
  <c r="K15" i="53"/>
  <c r="K16" i="53"/>
  <c r="K17" i="53"/>
  <c r="K18" i="53"/>
  <c r="K19" i="53"/>
  <c r="K20" i="53"/>
  <c r="K25" i="53" l="1"/>
  <c r="K36" i="53"/>
  <c r="K56" i="53"/>
  <c r="K64" i="53"/>
  <c r="K51" i="53"/>
  <c r="B37" i="57"/>
  <c r="C37" i="57"/>
  <c r="M37" i="57"/>
  <c r="L88" i="57" l="1"/>
  <c r="L109" i="57" l="1"/>
  <c r="K22" i="53" l="1"/>
  <c r="K24" i="53"/>
  <c r="K21" i="53" l="1"/>
  <c r="K69" i="53" s="1"/>
  <c r="S14" i="53"/>
  <c r="S15" i="53"/>
  <c r="S16" i="53"/>
  <c r="S17" i="53"/>
  <c r="S18" i="53"/>
  <c r="S19" i="53"/>
  <c r="S22" i="53"/>
  <c r="S23" i="53"/>
  <c r="S24" i="53"/>
  <c r="S26" i="53"/>
  <c r="S27" i="53"/>
  <c r="S30" i="53"/>
  <c r="S31" i="53"/>
  <c r="S33" i="53"/>
  <c r="S35" i="53"/>
  <c r="S37" i="53"/>
  <c r="S38" i="53"/>
  <c r="S39" i="53"/>
  <c r="S40" i="53"/>
  <c r="S52" i="53"/>
  <c r="S53" i="53"/>
  <c r="S54" i="53"/>
  <c r="S55" i="53"/>
  <c r="S57" i="53"/>
  <c r="S58" i="53"/>
  <c r="S60" i="53"/>
  <c r="S61" i="53"/>
  <c r="S63" i="53"/>
  <c r="S65" i="53"/>
  <c r="S66" i="53"/>
  <c r="S67" i="53"/>
  <c r="S68" i="53"/>
  <c r="L106" i="57" l="1"/>
  <c r="L103" i="57"/>
  <c r="L85" i="57" l="1"/>
  <c r="D24" i="50" l="1"/>
  <c r="T3" i="57" l="1"/>
  <c r="T2" i="57"/>
  <c r="Q6" i="57"/>
  <c r="R8" i="57"/>
  <c r="Q5" i="57"/>
  <c r="Q8" i="57" l="1"/>
  <c r="R9" i="57" s="1"/>
  <c r="L31" i="57" l="1"/>
  <c r="L138" i="57" l="1"/>
  <c r="L52" i="57"/>
  <c r="L82" i="57" l="1"/>
  <c r="L141" i="57" l="1"/>
  <c r="L48" i="57" l="1"/>
  <c r="G86" i="53" l="1"/>
  <c r="C92" i="53"/>
  <c r="C91" i="53"/>
  <c r="C90" i="53"/>
  <c r="C89" i="53"/>
  <c r="C88" i="53"/>
  <c r="C87" i="53"/>
  <c r="C86" i="53"/>
  <c r="C85" i="53"/>
  <c r="C84" i="53"/>
  <c r="C83" i="53"/>
  <c r="C82" i="53"/>
  <c r="C81" i="53"/>
  <c r="B81" i="53"/>
  <c r="L34" i="57"/>
  <c r="C93" i="53" l="1"/>
  <c r="L28" i="57"/>
  <c r="A51" i="57"/>
  <c r="B51" i="57"/>
  <c r="A52" i="57"/>
  <c r="B52" i="57" s="1"/>
  <c r="L25" i="57"/>
  <c r="L22" i="57"/>
  <c r="L145" i="57"/>
  <c r="J9" i="53"/>
  <c r="H9" i="53"/>
  <c r="G9" i="53"/>
  <c r="L41" i="57" l="1"/>
  <c r="M52" i="57"/>
  <c r="C52" i="57"/>
  <c r="B8" i="53"/>
  <c r="B92" i="53"/>
  <c r="L175" i="57" l="1"/>
  <c r="L172" i="57"/>
  <c r="L169" i="57"/>
  <c r="L166" i="57"/>
  <c r="L134" i="57"/>
  <c r="L131" i="57"/>
  <c r="L128" i="57"/>
  <c r="L125" i="57"/>
  <c r="L121" i="57"/>
  <c r="L118" i="57"/>
  <c r="L115" i="57"/>
  <c r="L112" i="57"/>
  <c r="L100" i="57"/>
  <c r="L97" i="57"/>
  <c r="L94" i="57"/>
  <c r="L91" i="57"/>
  <c r="L78" i="57"/>
  <c r="L72" i="57"/>
  <c r="L67" i="57"/>
  <c r="L63" i="57"/>
  <c r="L59" i="57"/>
  <c r="L55" i="57"/>
  <c r="B175" i="57" l="1"/>
  <c r="A175" i="57"/>
  <c r="B172" i="57"/>
  <c r="A172" i="57"/>
  <c r="M172" i="57" s="1"/>
  <c r="B169" i="57"/>
  <c r="A169" i="57"/>
  <c r="M134" i="57"/>
  <c r="M125" i="57"/>
  <c r="M121" i="57"/>
  <c r="M109" i="57"/>
  <c r="M106" i="57"/>
  <c r="M103" i="57"/>
  <c r="A48" i="57"/>
  <c r="B48" i="57" s="1"/>
  <c r="A31" i="57"/>
  <c r="B31" i="57" s="1"/>
  <c r="A28" i="57"/>
  <c r="C28" i="57" s="1"/>
  <c r="C175" i="57" l="1"/>
  <c r="C169" i="57"/>
  <c r="M175" i="57"/>
  <c r="C172" i="57"/>
  <c r="M169" i="57"/>
  <c r="C100" i="57"/>
  <c r="C106" i="57"/>
  <c r="B121" i="57"/>
  <c r="B109" i="57"/>
  <c r="B125" i="57"/>
  <c r="B134" i="57"/>
  <c r="C109" i="57"/>
  <c r="C134" i="57"/>
  <c r="C121" i="57"/>
  <c r="B106" i="57"/>
  <c r="C128" i="57"/>
  <c r="B103" i="57"/>
  <c r="C131" i="57"/>
  <c r="M131" i="57"/>
  <c r="B131" i="57"/>
  <c r="M128" i="57"/>
  <c r="B128" i="57"/>
  <c r="C125" i="57"/>
  <c r="C118" i="57"/>
  <c r="M118" i="57"/>
  <c r="B118" i="57"/>
  <c r="C115" i="57"/>
  <c r="M115" i="57"/>
  <c r="B115" i="57"/>
  <c r="C112" i="57"/>
  <c r="M112" i="57"/>
  <c r="B112" i="57"/>
  <c r="C103" i="57"/>
  <c r="M100" i="57"/>
  <c r="B100" i="57"/>
  <c r="C97" i="57"/>
  <c r="M97" i="57"/>
  <c r="B97" i="57"/>
  <c r="M48" i="57"/>
  <c r="C48" i="57"/>
  <c r="B28" i="57"/>
  <c r="M28" i="57"/>
  <c r="C31" i="57"/>
  <c r="M31" i="57"/>
  <c r="C165" i="57" l="1"/>
  <c r="A88" i="57" l="1"/>
  <c r="A91" i="57"/>
  <c r="A18" i="57"/>
  <c r="A22" i="57"/>
  <c r="A25" i="57"/>
  <c r="M25" i="57" s="1"/>
  <c r="A34" i="57"/>
  <c r="A40" i="57"/>
  <c r="B40" i="57"/>
  <c r="A41" i="57"/>
  <c r="A44" i="57"/>
  <c r="B44" i="57" s="1"/>
  <c r="A55" i="57"/>
  <c r="A59" i="57"/>
  <c r="A62" i="57"/>
  <c r="B62" i="57"/>
  <c r="A63" i="57"/>
  <c r="A67" i="57"/>
  <c r="A71" i="57"/>
  <c r="B71" i="57"/>
  <c r="A72" i="57"/>
  <c r="A77" i="57"/>
  <c r="B77" i="57"/>
  <c r="A78" i="57"/>
  <c r="A81" i="57"/>
  <c r="A82" i="57"/>
  <c r="A85" i="57"/>
  <c r="A137" i="57"/>
  <c r="B137" i="57"/>
  <c r="A138" i="57"/>
  <c r="A141" i="57"/>
  <c r="A144" i="57"/>
  <c r="B144" i="57"/>
  <c r="A145" i="57"/>
  <c r="A153" i="57"/>
  <c r="A165" i="57"/>
  <c r="B165" i="57"/>
  <c r="A166" i="57"/>
  <c r="B166" i="57"/>
  <c r="E19" i="53" l="1"/>
  <c r="E17" i="53"/>
  <c r="E20" i="53"/>
  <c r="F20" i="53" s="1"/>
  <c r="M20" i="53" s="1"/>
  <c r="E16" i="53"/>
  <c r="E18" i="53"/>
  <c r="F18" i="53" s="1"/>
  <c r="M18" i="53" s="1"/>
  <c r="E15" i="53"/>
  <c r="L15" i="53" s="1"/>
  <c r="E49" i="53"/>
  <c r="L49" i="53" s="1"/>
  <c r="E44" i="53"/>
  <c r="L44" i="53" s="1"/>
  <c r="E45" i="53"/>
  <c r="L45" i="53" s="1"/>
  <c r="E47" i="53"/>
  <c r="L47" i="53" s="1"/>
  <c r="E48" i="53"/>
  <c r="L48" i="53" s="1"/>
  <c r="E41" i="53"/>
  <c r="L41" i="53" s="1"/>
  <c r="E46" i="53"/>
  <c r="L46" i="53" s="1"/>
  <c r="E50" i="53"/>
  <c r="L50" i="53" s="1"/>
  <c r="E42" i="53"/>
  <c r="L42" i="53" s="1"/>
  <c r="E43" i="53"/>
  <c r="L43" i="53" s="1"/>
  <c r="E28" i="53"/>
  <c r="M166" i="57"/>
  <c r="C166" i="57"/>
  <c r="M55" i="57"/>
  <c r="C55" i="57"/>
  <c r="B55" i="57"/>
  <c r="B141" i="57"/>
  <c r="C141" i="57"/>
  <c r="M141" i="57"/>
  <c r="C78" i="57"/>
  <c r="B78" i="57"/>
  <c r="M78" i="57"/>
  <c r="B67" i="57"/>
  <c r="M67" i="57"/>
  <c r="C67" i="57"/>
  <c r="C18" i="57"/>
  <c r="M18" i="57"/>
  <c r="B18" i="57"/>
  <c r="C138" i="57"/>
  <c r="M138" i="57"/>
  <c r="B138" i="57"/>
  <c r="B63" i="57"/>
  <c r="M63" i="57"/>
  <c r="C63" i="57"/>
  <c r="M91" i="57"/>
  <c r="C91" i="57"/>
  <c r="B91" i="57"/>
  <c r="M44" i="57"/>
  <c r="C44" i="57"/>
  <c r="B88" i="57"/>
  <c r="M88" i="57"/>
  <c r="C88" i="57"/>
  <c r="B41" i="57"/>
  <c r="M41" i="57"/>
  <c r="C41" i="57"/>
  <c r="M72" i="57"/>
  <c r="C72" i="57"/>
  <c r="B72" i="57"/>
  <c r="B82" i="57"/>
  <c r="M82" i="57"/>
  <c r="C82" i="57"/>
  <c r="M34" i="57"/>
  <c r="C34" i="57"/>
  <c r="B34" i="57"/>
  <c r="B85" i="57"/>
  <c r="M85" i="57"/>
  <c r="C85" i="57"/>
  <c r="B153" i="57"/>
  <c r="M153" i="57"/>
  <c r="C153" i="57"/>
  <c r="C25" i="57"/>
  <c r="B25" i="57"/>
  <c r="B145" i="57"/>
  <c r="M145" i="57"/>
  <c r="C145" i="57"/>
  <c r="M59" i="57"/>
  <c r="C59" i="57"/>
  <c r="B59" i="57"/>
  <c r="C22" i="57"/>
  <c r="M22" i="57"/>
  <c r="B22" i="57"/>
  <c r="M94" i="57"/>
  <c r="C94" i="57"/>
  <c r="B94" i="57"/>
  <c r="F19" i="53" l="1"/>
  <c r="M19" i="53" s="1"/>
  <c r="L19" i="53"/>
  <c r="F17" i="53"/>
  <c r="M17" i="53" s="1"/>
  <c r="L17" i="53"/>
  <c r="F16" i="53"/>
  <c r="M16" i="53" s="1"/>
  <c r="L16" i="53"/>
  <c r="F15" i="53"/>
  <c r="M15" i="53" s="1"/>
  <c r="F43" i="53"/>
  <c r="H43" i="53"/>
  <c r="F42" i="53"/>
  <c r="H42" i="53"/>
  <c r="F50" i="53"/>
  <c r="H50" i="53"/>
  <c r="F46" i="53"/>
  <c r="H46" i="53"/>
  <c r="F41" i="53"/>
  <c r="H41" i="53"/>
  <c r="F48" i="53"/>
  <c r="H48" i="53"/>
  <c r="F47" i="53"/>
  <c r="H47" i="53"/>
  <c r="F45" i="53"/>
  <c r="H45" i="53"/>
  <c r="H44" i="53"/>
  <c r="F44" i="53"/>
  <c r="F49" i="53"/>
  <c r="H49" i="53"/>
  <c r="R28" i="53"/>
  <c r="L28" i="53"/>
  <c r="Q28" i="53" s="1"/>
  <c r="H28" i="53"/>
  <c r="F28" i="53"/>
  <c r="M28" i="53" s="1"/>
  <c r="L20" i="53"/>
  <c r="H20" i="53"/>
  <c r="E58" i="53"/>
  <c r="E55" i="53"/>
  <c r="E35" i="53"/>
  <c r="E23" i="53"/>
  <c r="R18" i="53"/>
  <c r="E68" i="53"/>
  <c r="E57" i="53"/>
  <c r="L57" i="53" s="1"/>
  <c r="E54" i="53"/>
  <c r="E22" i="53"/>
  <c r="R22" i="53" s="1"/>
  <c r="E26" i="53"/>
  <c r="R26" i="53" s="1"/>
  <c r="E67" i="53"/>
  <c r="E53" i="53"/>
  <c r="E33" i="53"/>
  <c r="E27" i="53"/>
  <c r="R27" i="53" s="1"/>
  <c r="R19" i="53"/>
  <c r="E66" i="53"/>
  <c r="E52" i="53"/>
  <c r="E65" i="53"/>
  <c r="E40" i="53"/>
  <c r="R40" i="53" s="1"/>
  <c r="R17" i="53"/>
  <c r="E61" i="53"/>
  <c r="E39" i="53"/>
  <c r="R39" i="53" s="1"/>
  <c r="R16" i="53"/>
  <c r="E60" i="53"/>
  <c r="E38" i="53"/>
  <c r="R38" i="53" s="1"/>
  <c r="R15" i="53"/>
  <c r="E37" i="53"/>
  <c r="R37" i="53" s="1"/>
  <c r="E31" i="53"/>
  <c r="E24" i="53"/>
  <c r="E30" i="53"/>
  <c r="E63" i="53"/>
  <c r="B91" i="53"/>
  <c r="B90" i="53"/>
  <c r="B89" i="53"/>
  <c r="B88" i="53"/>
  <c r="B87" i="53"/>
  <c r="B86" i="53"/>
  <c r="B85" i="53"/>
  <c r="B84" i="53"/>
  <c r="B83" i="53"/>
  <c r="B82" i="53"/>
  <c r="M47" i="53" l="1"/>
  <c r="N47" i="53" s="1"/>
  <c r="M42" i="53"/>
  <c r="N42" i="53" s="1"/>
  <c r="M46" i="53"/>
  <c r="N46" i="53" s="1"/>
  <c r="M41" i="53"/>
  <c r="N41" i="53" s="1"/>
  <c r="M44" i="53"/>
  <c r="N44" i="53" s="1"/>
  <c r="M45" i="53"/>
  <c r="N45" i="53" s="1"/>
  <c r="M50" i="53"/>
  <c r="N50" i="53" s="1"/>
  <c r="M48" i="53"/>
  <c r="N48" i="53" s="1"/>
  <c r="M43" i="53"/>
  <c r="N43" i="53" s="1"/>
  <c r="M49" i="53"/>
  <c r="N49" i="53" s="1"/>
  <c r="R67" i="53"/>
  <c r="L67" i="53"/>
  <c r="R65" i="53"/>
  <c r="L65" i="53"/>
  <c r="R68" i="53"/>
  <c r="L68" i="53"/>
  <c r="R66" i="53"/>
  <c r="L66" i="53"/>
  <c r="R63" i="53"/>
  <c r="L63" i="53"/>
  <c r="L62" i="53" s="1"/>
  <c r="R61" i="53"/>
  <c r="L61" i="53"/>
  <c r="R60" i="53"/>
  <c r="L60" i="53"/>
  <c r="R58" i="53"/>
  <c r="L58" i="53"/>
  <c r="L56" i="53" s="1"/>
  <c r="R54" i="53"/>
  <c r="L54" i="53"/>
  <c r="Q54" i="53" s="1"/>
  <c r="R55" i="53"/>
  <c r="L55" i="53"/>
  <c r="Q55" i="53" s="1"/>
  <c r="R53" i="53"/>
  <c r="L53" i="53"/>
  <c r="Q53" i="53" s="1"/>
  <c r="R52" i="53"/>
  <c r="L52" i="53"/>
  <c r="I49" i="53"/>
  <c r="G49" i="53"/>
  <c r="I41" i="53"/>
  <c r="G41" i="53"/>
  <c r="G44" i="53"/>
  <c r="I44" i="53"/>
  <c r="G46" i="53"/>
  <c r="I46" i="53"/>
  <c r="G45" i="53"/>
  <c r="I45" i="53"/>
  <c r="I50" i="53"/>
  <c r="G50" i="53"/>
  <c r="I47" i="53"/>
  <c r="G47" i="53"/>
  <c r="I42" i="53"/>
  <c r="G42" i="53"/>
  <c r="I48" i="53"/>
  <c r="G48" i="53"/>
  <c r="G43" i="53"/>
  <c r="I43" i="53"/>
  <c r="R35" i="53"/>
  <c r="L35" i="53"/>
  <c r="L34" i="53" s="1"/>
  <c r="R33" i="53"/>
  <c r="L33" i="53"/>
  <c r="L32" i="53" s="1"/>
  <c r="R31" i="53"/>
  <c r="L31" i="53"/>
  <c r="R30" i="53"/>
  <c r="L30" i="53"/>
  <c r="I28" i="53"/>
  <c r="N28" i="53"/>
  <c r="G28" i="53"/>
  <c r="G20" i="53"/>
  <c r="I20" i="53"/>
  <c r="N20" i="53"/>
  <c r="R23" i="53"/>
  <c r="L23" i="53"/>
  <c r="Q23" i="53" s="1"/>
  <c r="R24" i="53"/>
  <c r="L24" i="53"/>
  <c r="Q24" i="53" s="1"/>
  <c r="R57" i="53"/>
  <c r="F57" i="53"/>
  <c r="F55" i="53"/>
  <c r="H55" i="53"/>
  <c r="H54" i="53"/>
  <c r="F54" i="53"/>
  <c r="F53" i="53"/>
  <c r="H53" i="53"/>
  <c r="F23" i="53"/>
  <c r="H23" i="53"/>
  <c r="H18" i="53"/>
  <c r="L18" i="53"/>
  <c r="Q18" i="53" s="1"/>
  <c r="G18" i="53"/>
  <c r="F24" i="53"/>
  <c r="H24" i="53"/>
  <c r="F26" i="53"/>
  <c r="M26" i="53" s="1"/>
  <c r="H17" i="53"/>
  <c r="Q17" i="53"/>
  <c r="G17" i="53"/>
  <c r="F27" i="53"/>
  <c r="M27" i="53" s="1"/>
  <c r="H22" i="53"/>
  <c r="L22" i="53"/>
  <c r="F22" i="53"/>
  <c r="M22" i="53" s="1"/>
  <c r="M25" i="53" l="1"/>
  <c r="M24" i="53"/>
  <c r="N24" i="53" s="1"/>
  <c r="M53" i="53"/>
  <c r="N53" i="53" s="1"/>
  <c r="M54" i="53"/>
  <c r="N54" i="53" s="1"/>
  <c r="M55" i="53"/>
  <c r="N55" i="53" s="1"/>
  <c r="M57" i="53"/>
  <c r="M23" i="53"/>
  <c r="L21" i="53"/>
  <c r="L59" i="53"/>
  <c r="L29" i="53"/>
  <c r="L51" i="53"/>
  <c r="L64" i="53"/>
  <c r="Q22" i="53"/>
  <c r="N115" i="57"/>
  <c r="N109" i="57"/>
  <c r="N106" i="57"/>
  <c r="G54" i="53"/>
  <c r="N100" i="57" s="1"/>
  <c r="I54" i="53"/>
  <c r="G55" i="53"/>
  <c r="N103" i="57" s="1"/>
  <c r="I55" i="53"/>
  <c r="N121" i="57"/>
  <c r="N112" i="57"/>
  <c r="N118" i="57"/>
  <c r="I53" i="53"/>
  <c r="G53" i="53"/>
  <c r="N97" i="57" s="1"/>
  <c r="G22" i="53"/>
  <c r="I22" i="53"/>
  <c r="N22" i="53"/>
  <c r="G24" i="53"/>
  <c r="N48" i="57" s="1"/>
  <c r="I24" i="53"/>
  <c r="G23" i="53"/>
  <c r="N37" i="57" s="1"/>
  <c r="I23" i="53"/>
  <c r="N17" i="53"/>
  <c r="N28" i="57"/>
  <c r="I17" i="53"/>
  <c r="N18" i="53"/>
  <c r="I18" i="53"/>
  <c r="M21" i="53" l="1"/>
  <c r="N57" i="53"/>
  <c r="N23" i="53"/>
  <c r="N21" i="53" s="1"/>
  <c r="N131" i="57"/>
  <c r="N128" i="57"/>
  <c r="P2" i="57"/>
  <c r="A10" i="57"/>
  <c r="C9" i="53"/>
  <c r="F52" i="53" l="1"/>
  <c r="M52" i="53" s="1"/>
  <c r="M51" i="53" s="1"/>
  <c r="F30" i="53"/>
  <c r="F68" i="53"/>
  <c r="M68" i="53" s="1"/>
  <c r="F63" i="53"/>
  <c r="M63" i="53" s="1"/>
  <c r="M62" i="53" s="1"/>
  <c r="F66" i="53"/>
  <c r="M66" i="53" s="1"/>
  <c r="I15" i="53"/>
  <c r="F65" i="53"/>
  <c r="M65" i="53" s="1"/>
  <c r="F37" i="53"/>
  <c r="F40" i="53"/>
  <c r="F61" i="53"/>
  <c r="M61" i="53" s="1"/>
  <c r="F33" i="53"/>
  <c r="M33" i="53" s="1"/>
  <c r="M32" i="53" s="1"/>
  <c r="F67" i="53"/>
  <c r="M67" i="53" s="1"/>
  <c r="I57" i="53"/>
  <c r="F39" i="53"/>
  <c r="H63" i="53"/>
  <c r="Q61" i="53"/>
  <c r="H61" i="53"/>
  <c r="L26" i="53"/>
  <c r="H26" i="53"/>
  <c r="Q35" i="53"/>
  <c r="H35" i="53"/>
  <c r="I26" i="53"/>
  <c r="G26" i="53"/>
  <c r="N52" i="57" s="1"/>
  <c r="N26" i="53"/>
  <c r="N41" i="57"/>
  <c r="Q57" i="53"/>
  <c r="H57" i="53"/>
  <c r="Q66" i="53"/>
  <c r="H66" i="53"/>
  <c r="L27" i="53"/>
  <c r="Q27" i="53" s="1"/>
  <c r="H27" i="53"/>
  <c r="H33" i="53"/>
  <c r="Q33" i="53"/>
  <c r="L39" i="53"/>
  <c r="Q39" i="53" s="1"/>
  <c r="H39" i="53"/>
  <c r="Q68" i="53"/>
  <c r="H68" i="53"/>
  <c r="I27" i="53"/>
  <c r="G27" i="53"/>
  <c r="N55" i="57" s="1"/>
  <c r="N27" i="53"/>
  <c r="L40" i="53"/>
  <c r="Q40" i="53" s="1"/>
  <c r="H40" i="53"/>
  <c r="H37" i="53"/>
  <c r="L37" i="53"/>
  <c r="Q52" i="53"/>
  <c r="H52" i="53"/>
  <c r="H65" i="53"/>
  <c r="Q65" i="53"/>
  <c r="H15" i="53"/>
  <c r="N59" i="57"/>
  <c r="H30" i="53"/>
  <c r="Q30" i="53"/>
  <c r="Q67" i="53"/>
  <c r="H67" i="53"/>
  <c r="M64" i="53" l="1"/>
  <c r="I37" i="53"/>
  <c r="M37" i="53"/>
  <c r="I39" i="53"/>
  <c r="M39" i="53"/>
  <c r="N39" i="53" s="1"/>
  <c r="M30" i="53"/>
  <c r="N30" i="53" s="1"/>
  <c r="M40" i="53"/>
  <c r="N40" i="53" s="1"/>
  <c r="N63" i="53"/>
  <c r="N62" i="53" s="1"/>
  <c r="N52" i="53"/>
  <c r="N51" i="53" s="1"/>
  <c r="L25" i="53"/>
  <c r="Q26" i="53"/>
  <c r="G65" i="53"/>
  <c r="N166" i="57" s="1"/>
  <c r="N65" i="53"/>
  <c r="I68" i="53"/>
  <c r="N68" i="53"/>
  <c r="I67" i="53"/>
  <c r="N67" i="53"/>
  <c r="I66" i="53"/>
  <c r="N66" i="53"/>
  <c r="Q63" i="53"/>
  <c r="G61" i="53"/>
  <c r="N153" i="57" s="1"/>
  <c r="N61" i="53"/>
  <c r="Q37" i="53"/>
  <c r="G33" i="53"/>
  <c r="N72" i="57" s="1"/>
  <c r="Q15" i="53"/>
  <c r="G52" i="53"/>
  <c r="G68" i="53"/>
  <c r="N175" i="57" s="1"/>
  <c r="G39" i="53"/>
  <c r="N88" i="57" s="1"/>
  <c r="G67" i="53"/>
  <c r="N172" i="57" s="1"/>
  <c r="I40" i="53"/>
  <c r="G40" i="53"/>
  <c r="N91" i="57" s="1"/>
  <c r="I33" i="53"/>
  <c r="I63" i="53"/>
  <c r="I52" i="53"/>
  <c r="G63" i="53"/>
  <c r="G57" i="53"/>
  <c r="N138" i="57" s="1"/>
  <c r="G30" i="53"/>
  <c r="N63" i="57" s="1"/>
  <c r="I30" i="53"/>
  <c r="F35" i="53"/>
  <c r="M35" i="53" s="1"/>
  <c r="M34" i="53" s="1"/>
  <c r="L38" i="53"/>
  <c r="Q38" i="53" s="1"/>
  <c r="F38" i="53"/>
  <c r="M38" i="53" s="1"/>
  <c r="H31" i="53"/>
  <c r="F31" i="53"/>
  <c r="H58" i="53"/>
  <c r="F58" i="53"/>
  <c r="Q19" i="53"/>
  <c r="Q60" i="53"/>
  <c r="F60" i="53"/>
  <c r="N15" i="53"/>
  <c r="N31" i="57"/>
  <c r="G15" i="53"/>
  <c r="N22" i="57" s="1"/>
  <c r="H60" i="53"/>
  <c r="I61" i="53"/>
  <c r="Q31" i="53"/>
  <c r="G37" i="53"/>
  <c r="N82" i="57" s="1"/>
  <c r="N37" i="53"/>
  <c r="Q58" i="53"/>
  <c r="I65" i="53"/>
  <c r="H16" i="53"/>
  <c r="G66" i="53"/>
  <c r="N169" i="57" s="1"/>
  <c r="N44" i="57"/>
  <c r="H19" i="53"/>
  <c r="H38" i="53"/>
  <c r="E92" i="53"/>
  <c r="E86" i="53"/>
  <c r="E82" i="53"/>
  <c r="N25" i="53"/>
  <c r="M60" i="53" l="1"/>
  <c r="M59" i="53" s="1"/>
  <c r="M36" i="53"/>
  <c r="M58" i="53"/>
  <c r="M56" i="53" s="1"/>
  <c r="M31" i="53"/>
  <c r="M29" i="53" s="1"/>
  <c r="Q16" i="53"/>
  <c r="L13" i="53"/>
  <c r="N35" i="53"/>
  <c r="N34" i="53" s="1"/>
  <c r="N33" i="53"/>
  <c r="N32" i="53" s="1"/>
  <c r="L36" i="53"/>
  <c r="N64" i="53"/>
  <c r="N94" i="57"/>
  <c r="N125" i="57"/>
  <c r="G19" i="53"/>
  <c r="N34" i="57" s="1"/>
  <c r="I16" i="53"/>
  <c r="G16" i="53"/>
  <c r="N25" i="57" s="1"/>
  <c r="N16" i="53"/>
  <c r="I35" i="53"/>
  <c r="G35" i="53"/>
  <c r="N78" i="57" s="1"/>
  <c r="E83" i="53"/>
  <c r="N134" i="57"/>
  <c r="G58" i="53"/>
  <c r="N141" i="57" s="1"/>
  <c r="I58" i="53"/>
  <c r="G31" i="53"/>
  <c r="N67" i="57" s="1"/>
  <c r="I31" i="53"/>
  <c r="G60" i="53"/>
  <c r="N145" i="57" s="1"/>
  <c r="I60" i="53"/>
  <c r="I38" i="53"/>
  <c r="G38" i="53"/>
  <c r="N85" i="57" s="1"/>
  <c r="N38" i="53"/>
  <c r="F82" i="53"/>
  <c r="F86" i="53"/>
  <c r="F92" i="53"/>
  <c r="E91" i="53"/>
  <c r="E84" i="53"/>
  <c r="N19" i="53"/>
  <c r="I19" i="53"/>
  <c r="E90" i="53"/>
  <c r="N58" i="53" l="1"/>
  <c r="N56" i="53" s="1"/>
  <c r="N31" i="53"/>
  <c r="N29" i="53" s="1"/>
  <c r="N60" i="53"/>
  <c r="N59" i="53" s="1"/>
  <c r="N36" i="53"/>
  <c r="G87" i="53"/>
  <c r="E89" i="53"/>
  <c r="F89" i="53" s="1"/>
  <c r="E88" i="53"/>
  <c r="T5" i="57"/>
  <c r="V5" i="57" s="1"/>
  <c r="T8" i="57" s="1"/>
  <c r="G82" i="53"/>
  <c r="E87" i="53"/>
  <c r="F87" i="53" s="1"/>
  <c r="E85" i="53"/>
  <c r="F85" i="53" s="1"/>
  <c r="F83" i="53"/>
  <c r="G92" i="53"/>
  <c r="I92" i="53" s="1"/>
  <c r="G84" i="53"/>
  <c r="G85" i="53"/>
  <c r="F91" i="53"/>
  <c r="F90" i="53"/>
  <c r="F84" i="53"/>
  <c r="T77" i="53" l="1"/>
  <c r="G89" i="53"/>
  <c r="G88" i="53"/>
  <c r="F88" i="53"/>
  <c r="G91" i="53"/>
  <c r="I91" i="53" s="1"/>
  <c r="G90" i="53"/>
  <c r="I90" i="53" s="1"/>
  <c r="G83" i="53"/>
  <c r="I83" i="53" s="1"/>
  <c r="L8" i="53" l="1"/>
  <c r="I89" i="53" l="1"/>
  <c r="I88" i="53"/>
  <c r="I87" i="53"/>
  <c r="I86" i="53"/>
  <c r="I85" i="53"/>
  <c r="I84" i="53"/>
  <c r="I82" i="53"/>
  <c r="D73" i="53" l="1"/>
  <c r="T4" i="57" l="1"/>
  <c r="V4" i="57" s="1"/>
  <c r="T6" i="57" l="1"/>
  <c r="T9" i="57" s="1"/>
  <c r="V6" i="57"/>
  <c r="K20" i="57" l="1"/>
  <c r="L18" i="57" l="1"/>
  <c r="E14" i="53"/>
  <c r="F14" i="53" s="1"/>
  <c r="M14" i="53" s="1"/>
  <c r="M13" i="53" s="1"/>
  <c r="R14" i="53" l="1"/>
  <c r="H14" i="53"/>
  <c r="G14" i="53"/>
  <c r="N18" i="57" s="1"/>
  <c r="I14" i="53"/>
  <c r="L69" i="53"/>
  <c r="M69" i="53"/>
  <c r="Q14" i="53"/>
  <c r="E81" i="53"/>
  <c r="F81" i="53" s="1"/>
  <c r="P3" i="57" l="1"/>
  <c r="P4" i="57" s="1"/>
  <c r="P5" i="57" s="1"/>
  <c r="P6" i="57" s="1"/>
  <c r="D75" i="53"/>
  <c r="E93" i="53"/>
  <c r="D74" i="53"/>
  <c r="N14" i="53"/>
  <c r="N13" i="53" s="1"/>
  <c r="N69" i="53" s="1"/>
  <c r="D77" i="53" s="1"/>
  <c r="G81" i="53"/>
  <c r="D76" i="53"/>
  <c r="D93" i="53" l="1"/>
  <c r="I81" i="53"/>
  <c r="G93" i="5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Orçamento 01</author>
  </authors>
  <commentList>
    <comment ref="H11" authorId="0" shapeId="0" xr:uid="{D6FDBDE9-6878-4286-8BC5-35B5D48D5CBD}">
      <text>
        <r>
          <rPr>
            <b/>
            <sz val="9"/>
            <color indexed="81"/>
            <rFont val="Segoe UI"/>
            <family val="2"/>
          </rPr>
          <t>Solicitar a SIN - Falar c/ Ester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Conarte</author>
  </authors>
  <commentList>
    <comment ref="T10" authorId="0" shapeId="0" xr:uid="{69E779A3-FF95-45AF-B6FC-32F7BA465EF5}">
      <text>
        <r>
          <rPr>
            <b/>
            <sz val="9"/>
            <color indexed="81"/>
            <rFont val="Segoe UI"/>
            <family val="2"/>
          </rPr>
          <t>Alimentar com o medido em cada boletim para que assim seja feito o somatório do acumulado.</t>
        </r>
        <r>
          <rPr>
            <sz val="9"/>
            <color indexed="81"/>
            <rFont val="Segoe UI"/>
            <family val="2"/>
          </rPr>
          <t xml:space="preserve">
</t>
        </r>
      </text>
    </comment>
    <comment ref="U10" authorId="0" shapeId="0" xr:uid="{81176D17-C936-4C11-8EA0-DC9BD2DAC9F8}">
      <text>
        <r>
          <rPr>
            <b/>
            <sz val="9"/>
            <color indexed="81"/>
            <rFont val="Segoe UI"/>
            <family val="2"/>
          </rPr>
          <t>Alimentar com o medido em cada boletim para que assim seja feito o somatório do acumulado.</t>
        </r>
        <r>
          <rPr>
            <sz val="9"/>
            <color indexed="81"/>
            <rFont val="Segoe UI"/>
            <family val="2"/>
          </rPr>
          <t xml:space="preserve">
</t>
        </r>
      </text>
    </comment>
    <comment ref="V10" authorId="0" shapeId="0" xr:uid="{51493F4C-CDEA-4915-BD4A-9F7BF3C69A14}">
      <text>
        <r>
          <rPr>
            <b/>
            <sz val="9"/>
            <color indexed="81"/>
            <rFont val="Segoe UI"/>
            <family val="2"/>
          </rPr>
          <t>Alimentar com o medido em cada boletim para que assim seja feito o somatório do acumulado.</t>
        </r>
        <r>
          <rPr>
            <sz val="9"/>
            <color indexed="81"/>
            <rFont val="Segoe UI"/>
            <family val="2"/>
          </rPr>
          <t xml:space="preserve">
</t>
        </r>
      </text>
    </comment>
    <comment ref="W10" authorId="0" shapeId="0" xr:uid="{930D2D9E-DF9A-4604-B72A-2C8AF3163825}">
      <text>
        <r>
          <rPr>
            <b/>
            <sz val="9"/>
            <color indexed="81"/>
            <rFont val="Segoe UI"/>
            <family val="2"/>
          </rPr>
          <t>Alimentar com o medido em cada boletim para que assim seja feito o somatório do acumulado.</t>
        </r>
        <r>
          <rPr>
            <sz val="9"/>
            <color indexed="81"/>
            <rFont val="Segoe UI"/>
            <family val="2"/>
          </rPr>
          <t xml:space="preserve">
</t>
        </r>
      </text>
    </comment>
    <comment ref="X10" authorId="0" shapeId="0" xr:uid="{510BEF68-D00A-4ABC-A5EA-B7C0527306B2}">
      <text>
        <r>
          <rPr>
            <b/>
            <sz val="9"/>
            <color indexed="81"/>
            <rFont val="Segoe UI"/>
            <family val="2"/>
          </rPr>
          <t>Alimentar com o medido em cada boletim para que assim seja feito o somatório do acumulado.</t>
        </r>
        <r>
          <rPr>
            <sz val="9"/>
            <color indexed="81"/>
            <rFont val="Segoe UI"/>
            <family val="2"/>
          </rPr>
          <t xml:space="preserve">
</t>
        </r>
      </text>
    </comment>
  </commentList>
</comments>
</file>

<file path=xl/sharedStrings.xml><?xml version="1.0" encoding="utf-8"?>
<sst xmlns="http://schemas.openxmlformats.org/spreadsheetml/2006/main" count="381" uniqueCount="237">
  <si>
    <t>OBRA:</t>
  </si>
  <si>
    <t>GOVERNO DO ESTADO DO RIO GRANDE DO NORTE</t>
  </si>
  <si>
    <t>ITEM</t>
  </si>
  <si>
    <t>UNID</t>
  </si>
  <si>
    <t>DADOS DA OBRA</t>
  </si>
  <si>
    <t>OBJETO DO CONTRATO</t>
  </si>
  <si>
    <t>Nº CONTRATO</t>
  </si>
  <si>
    <t>PRAZO OBRA</t>
  </si>
  <si>
    <t>PRAZO ADITIVADO</t>
  </si>
  <si>
    <t>TEMPO DE PARALIZAÇÃO</t>
  </si>
  <si>
    <t>PRAZO TOTAL</t>
  </si>
  <si>
    <t>BDI (%)</t>
  </si>
  <si>
    <t>EMPRESA</t>
  </si>
  <si>
    <t>DADOS DO FISCAL</t>
  </si>
  <si>
    <t>NOME</t>
  </si>
  <si>
    <t>FUNÇÃO</t>
  </si>
  <si>
    <t>ENTIDADE DE CLASSE</t>
  </si>
  <si>
    <t>MATRICULA FUNCIONAL</t>
  </si>
  <si>
    <t>REGISTRO PROFISSIONAL</t>
  </si>
  <si>
    <t>MAXIMO A ADITIVAR (%)</t>
  </si>
  <si>
    <t>Dias</t>
  </si>
  <si>
    <t>SECRETARIA DE ESTADO DA INFRAESTUTURA DO RN</t>
  </si>
  <si>
    <t>OBRA FISCALIZADA PELA:</t>
  </si>
  <si>
    <t>Cliente:</t>
  </si>
  <si>
    <t>PLANILHA DE MEDIÇÕES PADRÃO - SIN</t>
  </si>
  <si>
    <t>SECRETARIA DE INFRA-ESTRUTURA - SIN</t>
  </si>
  <si>
    <t>COORDENADORIA DE OBRAS E SERVIÇOS DE ENGENHARIA</t>
  </si>
  <si>
    <t>SUB-COORDENADORIA DE FISCALIZAÇÃO E CONTROLE</t>
  </si>
  <si>
    <t xml:space="preserve">CONTRATO.: </t>
  </si>
  <si>
    <t>PRAZO DE EXECUÇÃO DA OBRA:</t>
  </si>
  <si>
    <t>QUANTIDADE</t>
  </si>
  <si>
    <t>PERCENTUAL</t>
  </si>
  <si>
    <t>VALORES</t>
  </si>
  <si>
    <t>NO PERÍODO</t>
  </si>
  <si>
    <t>ACUMULADO</t>
  </si>
  <si>
    <t>SALDO</t>
  </si>
  <si>
    <t>PREVISTO</t>
  </si>
  <si>
    <t>VALOR GLOBAL DA OBRA/SERVIÇO (R$)</t>
  </si>
  <si>
    <t>PERCENTUAL FATURADO</t>
  </si>
  <si>
    <t>SALDO DO CONTRATO (R$)</t>
  </si>
  <si>
    <t>NO PERIODO (R$)</t>
  </si>
  <si>
    <t>NO PERIODO (%)</t>
  </si>
  <si>
    <t>ACUMULADO (R$)</t>
  </si>
  <si>
    <t>ACUMULADO (%)</t>
  </si>
  <si>
    <t>SUB-TOTAL</t>
  </si>
  <si>
    <t>MEDIÇÃO DA OBRA</t>
  </si>
  <si>
    <t>1ª Medição</t>
  </si>
  <si>
    <t>2ª Medição</t>
  </si>
  <si>
    <t>3ª Medição</t>
  </si>
  <si>
    <t>4ª Medição</t>
  </si>
  <si>
    <t>TOTAIS:</t>
  </si>
  <si>
    <t>R$</t>
  </si>
  <si>
    <t>VALOR DA MEDIÇÃO</t>
  </si>
  <si>
    <t xml:space="preserve">PERCENTUAL DA MEDIÇÃO </t>
  </si>
  <si>
    <t>%</t>
  </si>
  <si>
    <t>Nº MEDIÇÃO</t>
  </si>
  <si>
    <t>DATA MEDIÇÃO</t>
  </si>
  <si>
    <t>MEDIÇÃO Nº</t>
  </si>
  <si>
    <t>DATA ORDEM SERVIÇO</t>
  </si>
  <si>
    <t>DATA BASE DA PLANILHA BASE:</t>
  </si>
  <si>
    <t>DATA ORDEM DE SERVIÇO:</t>
  </si>
  <si>
    <t>V4.1.02.15</t>
  </si>
  <si>
    <t>LEGENDA: C /P= COMPRIMENTO/PERÍMETRO; L = LARGURA; H = ALTURA; N = Nº DE REPETIÇÕES; A/V=ÁREA/VOLUME</t>
  </si>
  <si>
    <t xml:space="preserve">ITEM </t>
  </si>
  <si>
    <t>DESCRIÇÃO</t>
  </si>
  <si>
    <t>C/P</t>
  </si>
  <si>
    <t>L</t>
  </si>
  <si>
    <t>H</t>
  </si>
  <si>
    <t>A/V</t>
  </si>
  <si>
    <t>N</t>
  </si>
  <si>
    <t>PREÇO UNIT.</t>
  </si>
  <si>
    <t xml:space="preserve">DATA DA MEDIÇÃO: </t>
  </si>
  <si>
    <t xml:space="preserve">MEDIÇÃO: CONTROLE   Nº </t>
  </si>
  <si>
    <t>SERVIÇOS PRELIMINARES</t>
  </si>
  <si>
    <t>UN</t>
  </si>
  <si>
    <t>m²</t>
  </si>
  <si>
    <t>m³</t>
  </si>
  <si>
    <t>M</t>
  </si>
  <si>
    <t>COBERTURA</t>
  </si>
  <si>
    <t>PINTURA</t>
  </si>
  <si>
    <t>5ª Medição</t>
  </si>
  <si>
    <t>Q</t>
  </si>
  <si>
    <t>ESTRUTURA</t>
  </si>
  <si>
    <t>un</t>
  </si>
  <si>
    <t>ENGENHEIRO CIVIL</t>
  </si>
  <si>
    <t>CREA</t>
  </si>
  <si>
    <t>MOVIMENTO DE TERRA</t>
  </si>
  <si>
    <t>PAVIMENTAÇÃO</t>
  </si>
  <si>
    <t>M3XKM</t>
  </si>
  <si>
    <t>DATA BASE (Io)</t>
  </si>
  <si>
    <t>ADMINISTRAÇÃO LOCAL DA OBRA</t>
  </si>
  <si>
    <t>FORNECIMENTO E INSTALAÇÃO DE PLACA DE OBRA COM CHAPA GALVANIZADA E ESTRUTURA DE MADEIRA. AF_03/2022_PS</t>
  </si>
  <si>
    <t>MOBILIZAÇÃO DE EQUIPAMENTOS EM CAMINHÃO EQUIPADO COM GUINDASTE</t>
  </si>
  <si>
    <t>KM</t>
  </si>
  <si>
    <t>DEMOLIÇÃO DE PISO DE CIMENTADO SOBRE LASTRO DE CONCRETO SIMPLES/CALCETAMENTO. R_11/2020</t>
  </si>
  <si>
    <t>LASTRO DE CONCRETO MAGRO, APLICADO EM BLOCOS DE COROAMENTO OU SAPATAS, ESPESSURA DE 5 CM. AF_01/2024</t>
  </si>
  <si>
    <t>PISO CIMENTADO, TRAÇO 1:3 (CIMENTO E AREIA), ACABAMENTO RÚSTICO, ESPESSURA 3,0 CM, PREPARO MECÂNICO DA ARGAMASSA. AF_09/2020</t>
  </si>
  <si>
    <t>REVESTIMENTOS</t>
  </si>
  <si>
    <t>INSTALAÇÕES ELÉTRICAS</t>
  </si>
  <si>
    <t>CABO DE COBRE FLEXÍVEL ISOLADO, 2,5 MM², ANTI-CHAMA 450/750 V, PARA CIRCUITOS TERMINAIS - FORNECIMENTO E INSTALAÇÃO. AF_03/2023</t>
  </si>
  <si>
    <t>CABO DE COBRE FLEXÍVEL ISOLADO, 4 MM², ANTI-CHAMA 450/750 V, PARA CIRCUITOS TERMINAIS - FORNECIMENTO E INSTALAÇÃO. AF_03/2023</t>
  </si>
  <si>
    <t>CAIAÇÃO DE PAREDE COM 03 DEMÃOS. R_05/2021</t>
  </si>
  <si>
    <t>LIMPEZA FINAL DE OBRA. INC_05/2019</t>
  </si>
  <si>
    <t>DESMOBILIZAÇÃO DE EQUIPAMENTOS EM CAMINHÃO EQUIPADO COM GUINDASTE</t>
  </si>
  <si>
    <t>EMBOÇO OU MASSA ÚNICA EM ARGAMASSA TRAÇO 1:2:8, PREPARO MECÂNICO COM BETONEIRA 400 L, APLICADA MANUALMENTE EM PANOS DE FACHADA COM PRESENÇA DE VÃOS, ESPESSURA DE 25 MM. AF_08/2022</t>
  </si>
  <si>
    <t>SUBTOTAL</t>
  </si>
  <si>
    <t>MEDIDO NO PERÍODO</t>
  </si>
  <si>
    <t>TOTAL</t>
  </si>
  <si>
    <t>AVISO</t>
  </si>
  <si>
    <t>CONARTE PROJETOS CONSTRUÇÕES E SERVIÇOS LTDA</t>
  </si>
  <si>
    <t>MEDIÇÃO ATUAL:</t>
  </si>
  <si>
    <t xml:space="preserve">AVANÇO DA OBRA: </t>
  </si>
  <si>
    <t>ADM:</t>
  </si>
  <si>
    <t>ADMINISTRAÇÃO DE OBRA - PROPORCIONAL AO AVANÇO</t>
  </si>
  <si>
    <t>X</t>
  </si>
  <si>
    <t>MEDIDOS</t>
  </si>
  <si>
    <t>READEQUAÇÃO</t>
  </si>
  <si>
    <t>MEDIÇÃO ACUMULADA:</t>
  </si>
  <si>
    <t>OBRA S/ ADM REFORMA:</t>
  </si>
  <si>
    <t>OBRA S/ ADM AMPLIAÇÃO:</t>
  </si>
  <si>
    <t>MEDIÇÃO ATUALREFORMA:</t>
  </si>
  <si>
    <t>MEDIÇÃO ATUAL AMPLIAÇÃO:</t>
  </si>
  <si>
    <t xml:space="preserve">AVANÇO DA OBRA REFORMA: </t>
  </si>
  <si>
    <t xml:space="preserve">AVANÇO DA OBRA AMPLIAÇÃO: </t>
  </si>
  <si>
    <t>MED ATUAL</t>
  </si>
  <si>
    <t>FUNDAÇÃO</t>
  </si>
  <si>
    <t>MEDIR 100% DO ITEM</t>
  </si>
  <si>
    <t>CONSTITUI O PRESENTE OBJETO A CONTRATAÇÃO DE EMPRESA ESPECIALIZADA PARA EXECUÇÃO DE OBRA DA COBERTURA DA QUADRA POLIESPORTIVA DO 8º BATALHÃO DE POLICIA MILITAR, LOCALIZADO NA RUA PROF. MARIO PINOTI, 218, NOVA CRUZ/RN.</t>
  </si>
  <si>
    <t xml:space="preserve">VICTOR HUGO GOMES </t>
  </si>
  <si>
    <t xml:space="preserve"> 1.</t>
  </si>
  <si>
    <t>REGULARIZAÇÃO DE OBRA - ART - 2025</t>
  </si>
  <si>
    <t>DEMOLIÇÃO DE ALVENARIA DE BLOCO FURADO, DE FORMA MANUAL, SEM REAPROVEITAMENTO. AF_09/2023</t>
  </si>
  <si>
    <t>REMOÇÃO DE POSTE DE CONCRETO ARMADO SEÇÃO CIRCULAR OU DUPLO T. INC_05/2021</t>
  </si>
  <si>
    <t xml:space="preserve"> 1.2</t>
  </si>
  <si>
    <t>1.3</t>
  </si>
  <si>
    <t>1.4</t>
  </si>
  <si>
    <t>1.5</t>
  </si>
  <si>
    <t>1.6</t>
  </si>
  <si>
    <t>1.7</t>
  </si>
  <si>
    <t>2.1</t>
  </si>
  <si>
    <t>2.2</t>
  </si>
  <si>
    <t>2.3</t>
  </si>
  <si>
    <t>ESCAVAÇÃO MANUAL PARA BLOCO DE COROAMENTO OU SAPATA (INCLUINDO ESCAVAÇÃO PARA COLOCAÇÃO DE FÔRMAS). AF_01/2024</t>
  </si>
  <si>
    <t>ATERRO MANUAL COM AREIA PARA ATERRO E APILOADO COM SOQUETE EM CAMADAS DE 20 CM. R_11/2019</t>
  </si>
  <si>
    <t>REATERRO MANUAL DE VALAS, COM PLACA VIBRATÓRIA. AF_08/2023</t>
  </si>
  <si>
    <t>3.1</t>
  </si>
  <si>
    <t>3.2</t>
  </si>
  <si>
    <t>3.3</t>
  </si>
  <si>
    <t>FABRICAÇÃO, MONTAGEM E DESMONTAGEM DE FÔRMA PARA BLOCO DE COROAMENTO, EM CHAPA DE MADEIRA COMPENSADA RESINADA, E=17 MM, 4 UTILIZAÇÕES. AF_01/2024</t>
  </si>
  <si>
    <t>CONCRETO CICLÓPICO FCK = 25MPA, 30% PEDRA DE MÃO EM VOLUME REAL, INCLUSIVE LANÇAMENTO. R_11/2021</t>
  </si>
  <si>
    <t xml:space="preserve"> 4.1 </t>
  </si>
  <si>
    <t xml:space="preserve">4.2 </t>
  </si>
  <si>
    <t>ESTRUTURA METÁLICA P/ COBERTURA C/VIGAS-TRELIÇA PRATT E TERÇAS EM UDC 127, 2 ÁGUAS, SEM LANTERNIN, VÃOS 10,01 A 20,0M, PINTADA 1 D OXIDO FERRO + 2 D ESMALTE EPÓXI BRANCO, EXCETO FORN. TELHAS - EXECUTADA</t>
  </si>
  <si>
    <t>COLUNA METÁLICA, EM PERFIS UDC127X50X5,13, DIAGONAIS DUPLAS, DIVERSOS USOS OU COMPOSIÇÃO DE PÓRTICOS VÃOS 10,01M A 20,0M,, LARGURA 0,60M, PDMAX. 7,00 , PINTURA 01 DEMÃO EPOXI FUNDO ÓXIDO FERRO + 02 DEMÃOS ESMALTE EPOXI BRANCO</t>
  </si>
  <si>
    <t>PAREDES E PAINÉIS</t>
  </si>
  <si>
    <t xml:space="preserve">5.1 </t>
  </si>
  <si>
    <t>ALVENARIA EM TIJOLO CERÂMICO FURADO 9X19X19CM, 1 VEZ (ESPESSURA 19 CM), ASSENTADO EM ARGAMASSA TRAÇO 1:4 (CIMENTO E AREIA MÉDIA), PREPARO MANUAL,
JUNTA 1 CM. INC_11/2016</t>
  </si>
  <si>
    <t xml:space="preserve">6.1 </t>
  </si>
  <si>
    <t>TELHAMENTO COM TELHA DE AÇO/ALUMÍNIO E = 0,5 MM, COM ATÉ 2 ÁGUAS, INCLUSO IÇAMENTO. AF_07/2019</t>
  </si>
  <si>
    <t>CONDULETE DE PVC, TIPO E, PARA ELETRODUTO DE PVC SOLDÁVEL DN 32 MM (1''), APARENTE - FORNECIMENTO E INSTALAÇÃO. AF_10/2022</t>
  </si>
  <si>
    <t>CONDULETE DE PVC, TIPO T, PARA ELETRODUTO DE PVC SOLDÁVEL DN 32 MM (1''), APARENTE - FORNECIMENTO E INSTALAÇÃO. AF_10/2022</t>
  </si>
  <si>
    <t>CABO DE COBRE FLEXÍVEL ISOLADO, 6 MM², ANTI-CHAMA 450/750 V, PARA CIRCUITOS TERMINAIS - FORNECIMENTO E INSTALAÇÃO. AF_03/2023</t>
  </si>
  <si>
    <t>QUADRO DE DISTRIBUICAO, EM PVC, DE EMBUTIR, COM BARRAMENTO TERRA / NEUTRO, PARA 12 DISJUNTORES NEMA OU 16 DISJUNTORES DIN - FORNECIMENTO E INSTALAÇÃO</t>
  </si>
  <si>
    <t>DISJUNTOR MONOPOLAR TIPO DIN, CORRENTE NOMINAL DE 32A - FORNECIMENTO E INSTALAÇÃO. AF_07/2025</t>
  </si>
  <si>
    <t>DISJUNTOR MONOPOLAR TIPO DIN, CORRENTE NOMINAL DE 20A - FORNECIMENTO E INSTALAÇÃO. AF_07/2025</t>
  </si>
  <si>
    <t>DISJUNTOR BIPOLAR TIPO DR, CORRENTE NOMINAL DE 40A SENSIBILIDADE DE 30MA - FORNECIMENTO E INSTALAÇÃO.</t>
  </si>
  <si>
    <t>DISPOSITIVO DE PROTEÇÃO CONTRA SURTO DE TENSÃO DPS 20KA - 275V. INC_05/2017</t>
  </si>
  <si>
    <t xml:space="preserve">7.1 </t>
  </si>
  <si>
    <t xml:space="preserve">7.2 </t>
  </si>
  <si>
    <t xml:space="preserve">7.3 </t>
  </si>
  <si>
    <t xml:space="preserve">7.4 </t>
  </si>
  <si>
    <t>7.5</t>
  </si>
  <si>
    <t>7.6</t>
  </si>
  <si>
    <t>7.7</t>
  </si>
  <si>
    <t>7.8</t>
  </si>
  <si>
    <t>7.9</t>
  </si>
  <si>
    <t>7.10</t>
  </si>
  <si>
    <t>7.11</t>
  </si>
  <si>
    <t>7.12</t>
  </si>
  <si>
    <t>7.13</t>
  </si>
  <si>
    <t>7.14</t>
  </si>
  <si>
    <t xml:space="preserve">8.1 </t>
  </si>
  <si>
    <t xml:space="preserve">8.2 </t>
  </si>
  <si>
    <t xml:space="preserve">8.3 </t>
  </si>
  <si>
    <t xml:space="preserve">8.4 </t>
  </si>
  <si>
    <t>INSTALAÇÕES HIDROSSANITÁRIAS</t>
  </si>
  <si>
    <t>CALHA EM CHAPA DE AÇO GALVANIZADO NÚMERO 24, DESENVOLVIMENTO DE 100 CM, INCLUSO TRANSPORTE VERTICAL. AF_07/2019</t>
  </si>
  <si>
    <t>JOELHO 90 GRAUS, PVC, SERIE R, ÁGUA PLUVIAL, DN 100 MM, JUNTA ELÁSTICA, FORNECIDO E INSTALADO EM CONDUTORES VERTICAIS DE ÁGUAS PLUVIAIS. AF_06/2022</t>
  </si>
  <si>
    <t>TUBO PVC, SÉRIE R, ÁGUA PLUVIAL, DN 100 MM, FORNECIDO E INSTALADO EM CONDUTORES VERTICAIS DE ÁGUAS PLUVIAIS. AF_06/2022</t>
  </si>
  <si>
    <t>TUBO PVC, SÉRIE R, ÁGUA PLUVIAL, DN 100 MM, FORNECIDO E INSTALADO EM RAMAL DE ENCAMINHAMENTO. AF_06/2022</t>
  </si>
  <si>
    <t xml:space="preserve">9.1 </t>
  </si>
  <si>
    <t xml:space="preserve">9.2 </t>
  </si>
  <si>
    <t>LASTRO DE CONCRETO MAGRO, APLICADO EM PISOS, LAJES SOBRE SOLO OU RADIERS. AF_01/2024</t>
  </si>
  <si>
    <t>CHAPISCO APLICADO EM ALVENARIA (SEM PRESENÇA DE VÃOS) E ESTRUTURAS DE CONCRETO DE FACHADA, COM COLHER DE PEDREIRO. ARGAMASSA TRAÇO 1:3 COM PREPARO EM BETONEIRA 400L. AF_10/2022</t>
  </si>
  <si>
    <t>10.1</t>
  </si>
  <si>
    <t>10.2</t>
  </si>
  <si>
    <t xml:space="preserve">11.1 </t>
  </si>
  <si>
    <t>SERVIÇOS COMPLEMENTARES</t>
  </si>
  <si>
    <t xml:space="preserve">12.1 </t>
  </si>
  <si>
    <t xml:space="preserve">12.2 </t>
  </si>
  <si>
    <t xml:space="preserve">12.3 </t>
  </si>
  <si>
    <t xml:space="preserve">12.4 </t>
  </si>
  <si>
    <t>CARGA, MANOBRA E DESCARGA DE ENTULHO EM CAMINHÃO BASCULANTE 6 M³ - CARGA COM ESCAVADEIRA HIDRÁULICA (CAÇAMBA DE 0,80 M³ / 111 HP) E DESCARGA LIVRE (UNIDADE: M3). AF_07/2020</t>
  </si>
  <si>
    <t>TRANSPORTE COM CAMINHÃO BASCULANTE DE 6 M³, EM VIA URBANA PAVIMENTADA, DMT ATÉ 30 KM (UNIDADE: M3XKM). AF_07/2020</t>
  </si>
  <si>
    <t xml:space="preserve"> 1.1</t>
  </si>
  <si>
    <t>QUADRO RESUMO 01</t>
  </si>
  <si>
    <t>QUADRO RESUMO 02</t>
  </si>
  <si>
    <t>DEMONSTRATIVO</t>
  </si>
  <si>
    <t>057/2025</t>
  </si>
  <si>
    <t>10/09/2025</t>
  </si>
  <si>
    <t xml:space="preserve">EMPRESA EXECUTORA: </t>
  </si>
  <si>
    <t>LEGENDA</t>
  </si>
  <si>
    <t>BM 01</t>
  </si>
  <si>
    <t>REFLETOR SLIM LED 100W DE POTÊNCIA, BRANCO FRIO, 6500K, AUTOVOLT, MARCA G-LIGHT OU SIMILAR</t>
  </si>
  <si>
    <t>ELETRODUTO RÍGIDO SOLDÁVEL, PVC, DN 32 MM (1"), APARENTE - FORNECIMENTO E INSTALAÇÃO. AF_10/2022</t>
  </si>
  <si>
    <t>CURVA 90° PVC RIGIDO SOLDAVEL MARROM, D= 32MM (1''), APARENTE - FORNECIMENTO E INSTALAÇÃO.</t>
  </si>
  <si>
    <t>CONDULETE DE PVC, TIPO C, PARA ELETRODUTO DE PVC SOLDÁVEL DN 32 MM (1''), APARENTE - FORNECIMENTO E INSTALAÇÃO. AF_10/2022</t>
  </si>
  <si>
    <t>ÁREA PARA ABAFAMENTO DA FUNDAÇÃO DOS BLOCOS</t>
  </si>
  <si>
    <t>V(M³)</t>
  </si>
  <si>
    <t>CONTRATO</t>
  </si>
  <si>
    <t>ADM</t>
  </si>
  <si>
    <t>CONTRATO S/ ADM</t>
  </si>
  <si>
    <t>% ADM BM 01</t>
  </si>
  <si>
    <t>ÁREA DA ARQUIBANCADA QUE SERÁ RECONSTITUÍDA APÓS INSTALAÇÃO DOS PERFIS METÁLICOS</t>
  </si>
  <si>
    <t>ÁREA PARA ENVOLVER A PEÇA METÁLICA, ISOLANDO O PERFIL FISICAMENTE E QUIMICAMENTE DA AÇÃO DO MATERIAL DE ATERRO</t>
  </si>
  <si>
    <t>BM 02</t>
  </si>
  <si>
    <t>POSTES REMOVIDOS</t>
  </si>
  <si>
    <t>ÁREA DE COBERTURA DE ACORDO COM PROJETO ESTRUTURAL</t>
  </si>
  <si>
    <t>ÁREA DA ESCADA QUE SERÁ RECONSTITUÍDA APÓS INSTALAÇÃO DOS PERFIS METÁLICOS</t>
  </si>
  <si>
    <t>ÁREA DDO BALDRAME DA EDIFICAÇÃO SERÁ RECONSTITUÍDA APÓS INSTALAÇÃO DOS PERFIS METÁLICOS</t>
  </si>
  <si>
    <t>ÁREA DA ESCADA QUE SERÁ RECONSTITUÍDA APÓS INSTALAÇÃO DO PERFIL METÁLICO</t>
  </si>
  <si>
    <t>ÁREA DO BALDRAME DA EDIFICAÇÃO QUE SERÁ RECONSTITUÍDA APÓS INSTALAÇÃO DO PERFIL METÁLICO</t>
  </si>
  <si>
    <t>COLUNA 12 - LADO ARQUIBANCADA</t>
  </si>
  <si>
    <t>01/06/2026 a 21/06/2026</t>
  </si>
  <si>
    <t>MEMÓRIA DE CÁLCULO - BOLETIM DE MEDIÇÃO Nº 02</t>
  </si>
  <si>
    <t>BOLETIM DE MEDIÇÃO Nº 02</t>
  </si>
  <si>
    <t>108/2026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</si>
</sst>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R$&quot;\ * #,##0.00_-;\-&quot;R$&quot;\ * #,##0.00_-;_-&quot;R$&quot;\ * &quot;-&quot;??_-;_-@_-"/>
    <numFmt numFmtId="43" formatCode="_-* #,##0.00_-;\-* #,##0.00_-;_-* &quot;-&quot;??_-;_-@_-"/>
    <numFmt numFmtId="164" formatCode="_(* #,##0.00_);_(* \(#,##0.00\);_(* &quot;-&quot;??_);_(@_)"/>
    <numFmt numFmtId="165" formatCode="_(&quot;R$&quot;* #,##0.00_);_(&quot;R$&quot;* \(#,##0.00\);_(&quot;R$&quot;* &quot;-&quot;??_);_(@_)"/>
    <numFmt numFmtId="166" formatCode="0.00&quot;kg&quot;"/>
    <numFmt numFmtId="167" formatCode="_(* #,##0.0_);_(* \(#,##0.0\);_(* &quot;-&quot;??_);_(@_)"/>
    <numFmt numFmtId="168" formatCode="&quot;R$&quot;\ #,##0.00"/>
    <numFmt numFmtId="169" formatCode="#,##0.00;[Red]#,##0.00"/>
    <numFmt numFmtId="170" formatCode="0.000"/>
    <numFmt numFmtId="171" formatCode="[$-F800]dddd\,\ mmmm\ dd\,\ yyyy"/>
    <numFmt numFmtId="172" formatCode="#,##0.0000000"/>
  </numFmts>
  <fonts count="3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8"/>
      <name val="Arial"/>
      <family val="2"/>
    </font>
    <font>
      <b/>
      <sz val="8"/>
      <name val="Arial"/>
      <family val="2"/>
    </font>
    <font>
      <sz val="10"/>
      <name val="Arial"/>
      <family val="2"/>
    </font>
    <font>
      <b/>
      <sz val="10"/>
      <name val="Arial"/>
      <family val="2"/>
    </font>
    <font>
      <sz val="10"/>
      <name val="Arial"/>
      <family val="2"/>
    </font>
    <font>
      <sz val="10"/>
      <name val="Arial"/>
      <family val="2"/>
    </font>
    <font>
      <sz val="10"/>
      <color rgb="FF000000"/>
      <name val="Arial"/>
      <family val="2"/>
    </font>
    <font>
      <b/>
      <sz val="10"/>
      <color rgb="FFFF0000"/>
      <name val="Arial"/>
      <family val="2"/>
    </font>
    <font>
      <sz val="10"/>
      <name val="Arial"/>
      <family val="2"/>
    </font>
    <font>
      <sz val="10"/>
      <name val="Arial"/>
      <family val="2"/>
    </font>
    <font>
      <b/>
      <sz val="12"/>
      <color rgb="FFFF0000"/>
      <name val="Arial"/>
      <family val="2"/>
    </font>
    <font>
      <b/>
      <sz val="14"/>
      <name val="Arial"/>
      <family val="2"/>
    </font>
    <font>
      <sz val="9"/>
      <name val="Arial"/>
      <family val="2"/>
    </font>
    <font>
      <sz val="12"/>
      <name val="Arial"/>
      <family val="2"/>
    </font>
    <font>
      <b/>
      <sz val="10"/>
      <color theme="0"/>
      <name val="Arial"/>
      <family val="2"/>
    </font>
    <font>
      <b/>
      <sz val="8"/>
      <color rgb="FFFF0000"/>
      <name val="Arial"/>
      <family val="2"/>
    </font>
    <font>
      <sz val="8"/>
      <color theme="1"/>
      <name val="Arial"/>
      <family val="2"/>
    </font>
    <font>
      <sz val="10"/>
      <color rgb="FFFF0000"/>
      <name val="Arial"/>
      <family val="2"/>
    </font>
    <font>
      <b/>
      <sz val="9"/>
      <color indexed="81"/>
      <name val="Segoe UI"/>
      <family val="2"/>
    </font>
    <font>
      <sz val="9"/>
      <color indexed="81"/>
      <name val="Segoe UI"/>
      <family val="2"/>
    </font>
    <font>
      <b/>
      <sz val="12"/>
      <name val="Arial"/>
      <family val="2"/>
    </font>
    <font>
      <sz val="10"/>
      <name val="Arial"/>
      <family val="2"/>
    </font>
    <font>
      <sz val="8"/>
      <color rgb="FFFF0000"/>
      <name val="Arial"/>
      <family val="2"/>
    </font>
    <font>
      <sz val="12"/>
      <color theme="1"/>
      <name val="Arial"/>
      <family val="2"/>
    </font>
    <font>
      <b/>
      <sz val="12"/>
      <color theme="1"/>
      <name val="Arial"/>
      <family val="2"/>
    </font>
    <font>
      <sz val="10"/>
      <color theme="1"/>
      <name val="Arial"/>
      <family val="2"/>
    </font>
    <font>
      <sz val="10"/>
      <name val="Cambria"/>
      <family val="1"/>
    </font>
    <font>
      <b/>
      <sz val="10"/>
      <name val="Cambria"/>
      <family val="1"/>
    </font>
    <font>
      <b/>
      <sz val="10"/>
      <color theme="1"/>
      <name val="Arial"/>
      <family val="2"/>
    </font>
  </fonts>
  <fills count="13">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9"/>
        <bgColor indexed="64"/>
      </patternFill>
    </fill>
    <fill>
      <patternFill patternType="solid">
        <fgColor theme="8" tint="0.39997558519241921"/>
        <bgColor indexed="64"/>
      </patternFill>
    </fill>
    <fill>
      <patternFill patternType="solid">
        <fgColor theme="3" tint="-0.49998474074526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FCFCFC"/>
      </patternFill>
    </fill>
    <fill>
      <patternFill patternType="solid">
        <fgColor rgb="FFFFFF9F"/>
        <bgColor indexed="64"/>
      </patternFill>
    </fill>
    <fill>
      <patternFill patternType="solid">
        <fgColor theme="6" tint="0.39997558519241921"/>
        <bgColor indexed="64"/>
      </patternFill>
    </fill>
    <fill>
      <patternFill patternType="solid">
        <fgColor theme="5" tint="0.59999389629810485"/>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style="thin">
        <color indexed="64"/>
      </right>
      <top/>
      <bottom/>
      <diagonal/>
    </border>
    <border>
      <left/>
      <right/>
      <top/>
      <bottom style="thin">
        <color indexed="64"/>
      </bottom>
      <diagonal/>
    </border>
    <border>
      <left style="thin">
        <color indexed="64"/>
      </left>
      <right/>
      <top/>
      <bottom/>
      <diagonal/>
    </border>
    <border>
      <left/>
      <right/>
      <top/>
      <bottom style="medium">
        <color auto="1"/>
      </bottom>
      <diagonal/>
    </border>
    <border>
      <left style="medium">
        <color auto="1"/>
      </left>
      <right style="medium">
        <color auto="1"/>
      </right>
      <top style="medium">
        <color indexed="64"/>
      </top>
      <bottom/>
      <diagonal/>
    </border>
    <border>
      <left style="medium">
        <color auto="1"/>
      </left>
      <right style="medium">
        <color auto="1"/>
      </right>
      <top/>
      <bottom style="medium">
        <color indexed="64"/>
      </bottom>
      <diagonal/>
    </border>
    <border>
      <left/>
      <right/>
      <top style="medium">
        <color auto="1"/>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style="thin">
        <color indexed="64"/>
      </left>
      <right style="thin">
        <color indexed="64"/>
      </right>
      <top style="thin">
        <color auto="1"/>
      </top>
      <bottom style="thin">
        <color auto="1"/>
      </bottom>
      <diagonal/>
    </border>
    <border>
      <left style="thin">
        <color indexed="64"/>
      </left>
      <right style="medium">
        <color indexed="64"/>
      </right>
      <top style="thin">
        <color auto="1"/>
      </top>
      <bottom style="thin">
        <color auto="1"/>
      </bottom>
      <diagonal/>
    </border>
    <border>
      <left style="medium">
        <color indexed="64"/>
      </left>
      <right style="thin">
        <color indexed="64"/>
      </right>
      <top style="thin">
        <color auto="1"/>
      </top>
      <bottom style="thin">
        <color auto="1"/>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auto="1"/>
      </top>
      <bottom style="thin">
        <color auto="1"/>
      </bottom>
      <diagonal/>
    </border>
    <border>
      <left style="medium">
        <color indexed="64"/>
      </left>
      <right style="thin">
        <color indexed="64"/>
      </right>
      <top style="thin">
        <color auto="1"/>
      </top>
      <bottom style="medium">
        <color indexed="64"/>
      </bottom>
      <diagonal/>
    </border>
    <border>
      <left style="thin">
        <color indexed="64"/>
      </left>
      <right/>
      <top style="thin">
        <color auto="1"/>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thin">
        <color auto="1"/>
      </top>
      <bottom style="thin">
        <color indexed="64"/>
      </bottom>
      <diagonal/>
    </border>
    <border>
      <left style="medium">
        <color indexed="64"/>
      </left>
      <right style="thin">
        <color indexed="64"/>
      </right>
      <top style="thin">
        <color auto="1"/>
      </top>
      <bottom/>
      <diagonal/>
    </border>
    <border>
      <left style="thin">
        <color indexed="64"/>
      </left>
      <right style="thin">
        <color indexed="64"/>
      </right>
      <top/>
      <bottom style="thin">
        <color auto="1"/>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s>
  <cellStyleXfs count="58">
    <xf numFmtId="0" fontId="0" fillId="0" borderId="0"/>
    <xf numFmtId="9" fontId="5" fillId="0" borderId="0" applyFont="0" applyFill="0" applyBorder="0" applyAlignment="0" applyProtection="0"/>
    <xf numFmtId="9" fontId="9" fillId="0" borderId="0" applyFont="0" applyFill="0" applyBorder="0" applyAlignment="0" applyProtection="0"/>
    <xf numFmtId="164" fontId="6" fillId="0" borderId="0" applyFont="0" applyFill="0" applyBorder="0" applyAlignment="0" applyProtection="0"/>
    <xf numFmtId="164" fontId="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165" fontId="4" fillId="0" borderId="0" applyFont="0" applyFill="0" applyBorder="0" applyAlignment="0" applyProtection="0"/>
    <xf numFmtId="9" fontId="4" fillId="0" borderId="0" applyFont="0" applyFill="0" applyBorder="0" applyAlignment="0" applyProtection="0"/>
    <xf numFmtId="164" fontId="4" fillId="0" borderId="0" applyFont="0" applyFill="0" applyBorder="0" applyAlignment="0" applyProtection="0"/>
    <xf numFmtId="167" fontId="11" fillId="0" borderId="0" applyFont="0" applyFill="0" applyBorder="0" applyAlignment="0" applyProtection="0"/>
    <xf numFmtId="9" fontId="11" fillId="0" borderId="0" applyFont="0" applyFill="0" applyBorder="0" applyAlignment="0" applyProtection="0"/>
    <xf numFmtId="167" fontId="11" fillId="0" borderId="0" applyFont="0" applyFill="0" applyBorder="0" applyAlignment="0" applyProtection="0"/>
    <xf numFmtId="166" fontId="11" fillId="0" borderId="0" applyFont="0" applyFill="0" applyBorder="0" applyAlignment="0" applyProtection="0"/>
    <xf numFmtId="0" fontId="4" fillId="0" borderId="0"/>
    <xf numFmtId="166" fontId="12" fillId="0" borderId="0" applyFont="0" applyFill="0" applyBorder="0" applyAlignment="0" applyProtection="0"/>
    <xf numFmtId="167" fontId="5" fillId="0" borderId="0" applyFont="0" applyFill="0" applyBorder="0" applyAlignment="0" applyProtection="0"/>
    <xf numFmtId="166"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3" fillId="0" borderId="0"/>
    <xf numFmtId="0" fontId="13" fillId="0" borderId="0" applyNumberFormat="0" applyFont="0" applyFill="0" applyBorder="0" applyAlignment="0" applyProtection="0"/>
    <xf numFmtId="4" fontId="13" fillId="0" borderId="0" applyFont="0" applyBorder="0" applyProtection="0"/>
    <xf numFmtId="3" fontId="13" fillId="0" borderId="0" applyFont="0" applyBorder="0" applyProtection="0"/>
    <xf numFmtId="0" fontId="5" fillId="0" borderId="0"/>
    <xf numFmtId="0" fontId="5" fillId="0" borderId="0"/>
    <xf numFmtId="0" fontId="13" fillId="0" borderId="0"/>
    <xf numFmtId="9" fontId="3" fillId="0" borderId="0" applyFont="0" applyFill="0" applyBorder="0" applyAlignment="0" applyProtection="0"/>
    <xf numFmtId="9" fontId="13" fillId="0" borderId="0" applyFont="0" applyBorder="0" applyProtection="0"/>
    <xf numFmtId="164" fontId="3" fillId="0" borderId="0" applyFont="0" applyFill="0" applyBorder="0" applyAlignment="0" applyProtection="0"/>
    <xf numFmtId="164" fontId="13" fillId="0" borderId="0" applyFont="0" applyFill="0" applyBorder="0" applyAlignment="0" applyProtection="0"/>
    <xf numFmtId="3" fontId="13" fillId="0" borderId="0" applyFont="0" applyBorder="0" applyProtection="0"/>
    <xf numFmtId="164" fontId="3" fillId="0" borderId="0" applyFont="0" applyFill="0" applyBorder="0" applyAlignment="0" applyProtection="0"/>
    <xf numFmtId="0" fontId="2" fillId="0" borderId="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2" fontId="15" fillId="0" borderId="0" applyBorder="0"/>
    <xf numFmtId="9" fontId="15" fillId="0" borderId="0" applyFont="0" applyFill="0" applyBorder="0" applyAlignment="0" applyProtection="0"/>
    <xf numFmtId="164" fontId="15" fillId="0" borderId="0" applyFont="0" applyFill="0" applyBorder="0" applyAlignment="0" applyProtection="0"/>
    <xf numFmtId="2" fontId="15" fillId="0" borderId="0" applyBorder="0"/>
    <xf numFmtId="2" fontId="15" fillId="0" borderId="0" applyBorder="0"/>
    <xf numFmtId="164" fontId="5" fillId="0" borderId="0" applyFont="0" applyFill="0" applyBorder="0" applyAlignment="0" applyProtection="0"/>
    <xf numFmtId="9" fontId="16" fillId="0" borderId="0" applyFont="0" applyFill="0" applyBorder="0" applyAlignment="0" applyProtection="0"/>
    <xf numFmtId="2" fontId="5" fillId="0" borderId="0" applyBorder="0"/>
    <xf numFmtId="0" fontId="5" fillId="0" borderId="0"/>
    <xf numFmtId="0" fontId="5" fillId="0" borderId="0"/>
    <xf numFmtId="164" fontId="5" fillId="0" borderId="0" applyFont="0" applyFill="0" applyBorder="0" applyAlignment="0" applyProtection="0"/>
    <xf numFmtId="164" fontId="5" fillId="0" borderId="0" applyFont="0" applyFill="0" applyBorder="0" applyAlignment="0" applyProtection="0"/>
    <xf numFmtId="2" fontId="5" fillId="0" borderId="0" applyBorder="0"/>
    <xf numFmtId="44" fontId="5" fillId="0" borderId="0" applyFont="0" applyFill="0" applyBorder="0" applyAlignment="0" applyProtection="0"/>
    <xf numFmtId="2" fontId="5" fillId="0" borderId="0" applyBorder="0"/>
    <xf numFmtId="9" fontId="1"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44" fontId="28" fillId="0" borderId="0" applyFont="0" applyFill="0" applyBorder="0" applyAlignment="0" applyProtection="0"/>
  </cellStyleXfs>
  <cellXfs count="412">
    <xf numFmtId="0" fontId="0" fillId="0" borderId="0" xfId="0"/>
    <xf numFmtId="0" fontId="0" fillId="2" borderId="0" xfId="0" applyFill="1"/>
    <xf numFmtId="0" fontId="0" fillId="2" borderId="2" xfId="0" applyFill="1" applyBorder="1"/>
    <xf numFmtId="0" fontId="0" fillId="2" borderId="18" xfId="0" applyFill="1" applyBorder="1"/>
    <xf numFmtId="0" fontId="0" fillId="2" borderId="3" xfId="0" applyFill="1" applyBorder="1"/>
    <xf numFmtId="0" fontId="0" fillId="2" borderId="17" xfId="0" applyFill="1" applyBorder="1"/>
    <xf numFmtId="0" fontId="0" fillId="2" borderId="6" xfId="0" applyFill="1" applyBorder="1"/>
    <xf numFmtId="0" fontId="0" fillId="2" borderId="7" xfId="0" applyFill="1" applyBorder="1"/>
    <xf numFmtId="0" fontId="0" fillId="2" borderId="19" xfId="0" applyFill="1" applyBorder="1"/>
    <xf numFmtId="0" fontId="0" fillId="2" borderId="4" xfId="0" applyFill="1" applyBorder="1"/>
    <xf numFmtId="0" fontId="8" fillId="2" borderId="19" xfId="0" applyFont="1" applyFill="1" applyBorder="1"/>
    <xf numFmtId="0" fontId="10" fillId="2" borderId="19" xfId="0" applyFont="1" applyFill="1" applyBorder="1"/>
    <xf numFmtId="0" fontId="0" fillId="5" borderId="14" xfId="0" applyFill="1" applyBorder="1"/>
    <xf numFmtId="0" fontId="0" fillId="5" borderId="13" xfId="0" applyFill="1" applyBorder="1"/>
    <xf numFmtId="0" fontId="0" fillId="5" borderId="28" xfId="0" applyFill="1" applyBorder="1"/>
    <xf numFmtId="0" fontId="0" fillId="5" borderId="0" xfId="0" applyFill="1"/>
    <xf numFmtId="0" fontId="0" fillId="5" borderId="15" xfId="0" applyFill="1" applyBorder="1"/>
    <xf numFmtId="0" fontId="0" fillId="5" borderId="27" xfId="0" applyFill="1" applyBorder="1"/>
    <xf numFmtId="0" fontId="0" fillId="5" borderId="16" xfId="0" applyFill="1" applyBorder="1"/>
    <xf numFmtId="0" fontId="0" fillId="5" borderId="26" xfId="0" applyFill="1" applyBorder="1"/>
    <xf numFmtId="0" fontId="0" fillId="5" borderId="20" xfId="0" applyFill="1" applyBorder="1"/>
    <xf numFmtId="0" fontId="10" fillId="5" borderId="0" xfId="0" applyFont="1" applyFill="1" applyAlignment="1">
      <alignment vertical="top"/>
    </xf>
    <xf numFmtId="0" fontId="10" fillId="5" borderId="0" xfId="0" applyFont="1" applyFill="1"/>
    <xf numFmtId="0" fontId="14" fillId="5" borderId="0" xfId="0" applyFont="1" applyFill="1"/>
    <xf numFmtId="0" fontId="0" fillId="5" borderId="0" xfId="0" applyFill="1" applyAlignment="1">
      <alignment horizontal="center" wrapText="1"/>
    </xf>
    <xf numFmtId="0" fontId="17" fillId="5" borderId="0" xfId="0" applyFont="1" applyFill="1"/>
    <xf numFmtId="0" fontId="0" fillId="6" borderId="0" xfId="0" applyFill="1"/>
    <xf numFmtId="2" fontId="7" fillId="0" borderId="0" xfId="50" applyFont="1" applyAlignment="1">
      <alignment vertical="center"/>
    </xf>
    <xf numFmtId="2" fontId="8" fillId="0" borderId="0" xfId="50" applyFont="1" applyBorder="1" applyAlignment="1">
      <alignment horizontal="center" vertical="center"/>
    </xf>
    <xf numFmtId="2" fontId="7" fillId="0" borderId="0" xfId="50" applyFont="1" applyAlignment="1">
      <alignment horizontal="center" vertical="center"/>
    </xf>
    <xf numFmtId="2" fontId="7" fillId="0" borderId="0" xfId="50" applyFont="1" applyBorder="1" applyAlignment="1">
      <alignment horizontal="center" vertical="center"/>
    </xf>
    <xf numFmtId="2" fontId="7" fillId="0" borderId="0" xfId="50" applyFont="1" applyBorder="1" applyAlignment="1">
      <alignment vertical="center"/>
    </xf>
    <xf numFmtId="164" fontId="8" fillId="0" borderId="35" xfId="48" applyFont="1" applyFill="1" applyBorder="1" applyAlignment="1">
      <alignment horizontal="center" vertical="center"/>
    </xf>
    <xf numFmtId="2" fontId="8" fillId="0" borderId="35" xfId="46" applyNumberFormat="1" applyFont="1" applyBorder="1" applyAlignment="1">
      <alignment horizontal="center" vertical="center"/>
    </xf>
    <xf numFmtId="2" fontId="8" fillId="0" borderId="35" xfId="48" applyNumberFormat="1" applyFont="1" applyFill="1" applyBorder="1" applyAlignment="1">
      <alignment horizontal="center" vertical="center"/>
    </xf>
    <xf numFmtId="2" fontId="7" fillId="8" borderId="0" xfId="50" applyFont="1" applyFill="1" applyAlignment="1">
      <alignment vertical="center"/>
    </xf>
    <xf numFmtId="164" fontId="8" fillId="2" borderId="2" xfId="48" applyFont="1" applyFill="1" applyBorder="1" applyAlignment="1">
      <alignment horizontal="center" vertical="center"/>
    </xf>
    <xf numFmtId="2" fontId="8" fillId="2" borderId="2" xfId="46" applyNumberFormat="1" applyFont="1" applyFill="1" applyBorder="1" applyAlignment="1">
      <alignment horizontal="center" vertical="center"/>
    </xf>
    <xf numFmtId="2" fontId="8" fillId="2" borderId="2" xfId="48" applyNumberFormat="1" applyFont="1" applyFill="1" applyBorder="1" applyAlignment="1">
      <alignment horizontal="center" vertical="center"/>
    </xf>
    <xf numFmtId="164" fontId="8" fillId="2" borderId="18" xfId="48" applyFont="1" applyFill="1" applyBorder="1" applyAlignment="1">
      <alignment horizontal="center" vertical="center"/>
    </xf>
    <xf numFmtId="2" fontId="8" fillId="2" borderId="18" xfId="46" applyNumberFormat="1" applyFont="1" applyFill="1" applyBorder="1" applyAlignment="1">
      <alignment horizontal="center" vertical="center"/>
    </xf>
    <xf numFmtId="2" fontId="8" fillId="2" borderId="18" xfId="48" applyNumberFormat="1" applyFont="1" applyFill="1" applyBorder="1" applyAlignment="1">
      <alignment horizontal="center" vertical="center"/>
    </xf>
    <xf numFmtId="164" fontId="7" fillId="2" borderId="0" xfId="48" applyFont="1" applyFill="1" applyBorder="1" applyAlignment="1">
      <alignment horizontal="center" vertical="center"/>
    </xf>
    <xf numFmtId="2" fontId="7" fillId="2" borderId="0" xfId="48" applyNumberFormat="1" applyFont="1" applyFill="1" applyBorder="1" applyAlignment="1">
      <alignment horizontal="center" vertical="center"/>
    </xf>
    <xf numFmtId="2" fontId="8" fillId="0" borderId="18" xfId="48" applyNumberFormat="1" applyFont="1" applyFill="1" applyBorder="1" applyAlignment="1">
      <alignment horizontal="center" vertical="center"/>
    </xf>
    <xf numFmtId="2" fontId="8" fillId="0" borderId="6" xfId="48" applyNumberFormat="1" applyFont="1" applyFill="1" applyBorder="1" applyAlignment="1">
      <alignment horizontal="center" vertical="center"/>
    </xf>
    <xf numFmtId="164" fontId="8" fillId="0" borderId="18" xfId="48" applyFont="1" applyFill="1" applyBorder="1" applyAlignment="1">
      <alignment horizontal="center" vertical="center"/>
    </xf>
    <xf numFmtId="2" fontId="8" fillId="0" borderId="18" xfId="46" applyNumberFormat="1" applyFont="1" applyBorder="1" applyAlignment="1">
      <alignment horizontal="center" vertical="center"/>
    </xf>
    <xf numFmtId="2" fontId="8" fillId="0" borderId="38" xfId="48" applyNumberFormat="1" applyFont="1" applyFill="1" applyBorder="1" applyAlignment="1">
      <alignment horizontal="center" vertical="center"/>
    </xf>
    <xf numFmtId="164" fontId="8" fillId="7" borderId="35" xfId="48" applyFont="1" applyFill="1" applyBorder="1" applyAlignment="1">
      <alignment horizontal="center" vertical="center"/>
    </xf>
    <xf numFmtId="2" fontId="8" fillId="7" borderId="35" xfId="46" applyNumberFormat="1" applyFont="1" applyFill="1" applyBorder="1" applyAlignment="1">
      <alignment horizontal="center" vertical="center"/>
    </xf>
    <xf numFmtId="2" fontId="8" fillId="7" borderId="35" xfId="48" applyNumberFormat="1" applyFont="1" applyFill="1" applyBorder="1" applyAlignment="1">
      <alignment horizontal="center" vertical="center"/>
    </xf>
    <xf numFmtId="2" fontId="8" fillId="7" borderId="38" xfId="48" applyNumberFormat="1" applyFont="1" applyFill="1" applyBorder="1" applyAlignment="1">
      <alignment horizontal="center" vertical="center"/>
    </xf>
    <xf numFmtId="2" fontId="8" fillId="0" borderId="3" xfId="48" applyNumberFormat="1" applyFont="1" applyFill="1" applyBorder="1" applyAlignment="1">
      <alignment horizontal="center" vertical="center"/>
    </xf>
    <xf numFmtId="2" fontId="8" fillId="0" borderId="17" xfId="48" applyNumberFormat="1" applyFont="1" applyFill="1" applyBorder="1" applyAlignment="1">
      <alignment horizontal="center" vertical="center"/>
    </xf>
    <xf numFmtId="164" fontId="8" fillId="7" borderId="2" xfId="48" applyFont="1" applyFill="1" applyBorder="1" applyAlignment="1">
      <alignment horizontal="center" vertical="center"/>
    </xf>
    <xf numFmtId="2" fontId="8" fillId="7" borderId="2" xfId="46" applyNumberFormat="1" applyFont="1" applyFill="1" applyBorder="1" applyAlignment="1">
      <alignment horizontal="center" vertical="center"/>
    </xf>
    <xf numFmtId="2" fontId="8" fillId="7" borderId="2" xfId="48" applyNumberFormat="1" applyFont="1" applyFill="1" applyBorder="1" applyAlignment="1">
      <alignment horizontal="center" vertical="center"/>
    </xf>
    <xf numFmtId="2" fontId="8" fillId="7" borderId="3" xfId="48" applyNumberFormat="1" applyFont="1" applyFill="1" applyBorder="1" applyAlignment="1">
      <alignment horizontal="center" vertical="center"/>
    </xf>
    <xf numFmtId="0" fontId="0" fillId="5" borderId="0" xfId="0" applyFill="1" applyAlignment="1">
      <alignment horizontal="center" vertical="center"/>
    </xf>
    <xf numFmtId="0" fontId="5" fillId="5" borderId="0" xfId="0" applyFont="1" applyFill="1" applyAlignment="1">
      <alignment horizontal="center" vertical="center"/>
    </xf>
    <xf numFmtId="44" fontId="22" fillId="0" borderId="0" xfId="51" applyFont="1" applyFill="1" applyBorder="1" applyAlignment="1">
      <alignment horizontal="left" vertical="center"/>
    </xf>
    <xf numFmtId="2" fontId="7" fillId="0" borderId="0" xfId="50" applyFont="1" applyBorder="1" applyAlignment="1">
      <alignment horizontal="left" vertical="center"/>
    </xf>
    <xf numFmtId="164" fontId="23" fillId="0" borderId="0" xfId="50" applyNumberFormat="1" applyFont="1" applyBorder="1" applyAlignment="1">
      <alignment horizontal="left" vertical="center"/>
    </xf>
    <xf numFmtId="2" fontId="8" fillId="2" borderId="0" xfId="50" applyFont="1" applyFill="1" applyBorder="1" applyAlignment="1">
      <alignment horizontal="center" vertical="center"/>
    </xf>
    <xf numFmtId="2" fontId="8" fillId="8" borderId="23" xfId="50" applyFont="1" applyFill="1" applyBorder="1" applyAlignment="1">
      <alignment horizontal="center" vertical="center" wrapText="1"/>
    </xf>
    <xf numFmtId="2" fontId="8" fillId="8" borderId="23" xfId="50" applyFont="1" applyFill="1" applyBorder="1" applyAlignment="1">
      <alignment horizontal="center" vertical="center"/>
    </xf>
    <xf numFmtId="49" fontId="7" fillId="0" borderId="0" xfId="50" applyNumberFormat="1" applyFont="1" applyBorder="1" applyAlignment="1">
      <alignment horizontal="justify" vertical="center" wrapText="1"/>
    </xf>
    <xf numFmtId="49" fontId="8" fillId="0" borderId="0" xfId="50" applyNumberFormat="1" applyFont="1" applyBorder="1" applyAlignment="1">
      <alignment horizontal="justify" vertical="center" wrapText="1"/>
    </xf>
    <xf numFmtId="49" fontId="8" fillId="8" borderId="23" xfId="50" applyNumberFormat="1" applyFont="1" applyFill="1" applyBorder="1" applyAlignment="1">
      <alignment horizontal="justify" vertical="center" wrapText="1"/>
    </xf>
    <xf numFmtId="49" fontId="8" fillId="2" borderId="0" xfId="50" applyNumberFormat="1" applyFont="1" applyFill="1" applyBorder="1" applyAlignment="1">
      <alignment horizontal="justify" vertical="center" wrapText="1"/>
    </xf>
    <xf numFmtId="49" fontId="8" fillId="7" borderId="35" xfId="48" applyNumberFormat="1" applyFont="1" applyFill="1" applyBorder="1" applyAlignment="1">
      <alignment horizontal="justify" vertical="center" wrapText="1"/>
    </xf>
    <xf numFmtId="49" fontId="8" fillId="0" borderId="37" xfId="48" applyNumberFormat="1" applyFont="1" applyFill="1" applyBorder="1" applyAlignment="1">
      <alignment horizontal="justify" vertical="center" wrapText="1"/>
    </xf>
    <xf numFmtId="49" fontId="7" fillId="2" borderId="0" xfId="48" applyNumberFormat="1" applyFont="1" applyFill="1" applyBorder="1" applyAlignment="1">
      <alignment horizontal="justify" vertical="center" wrapText="1"/>
    </xf>
    <xf numFmtId="49" fontId="7" fillId="0" borderId="0" xfId="48" applyNumberFormat="1" applyFont="1" applyFill="1" applyBorder="1" applyAlignment="1">
      <alignment horizontal="justify" vertical="center" wrapText="1"/>
    </xf>
    <xf numFmtId="49" fontId="8" fillId="0" borderId="35" xfId="48" applyNumberFormat="1" applyFont="1" applyFill="1" applyBorder="1" applyAlignment="1">
      <alignment horizontal="justify" vertical="center" wrapText="1"/>
    </xf>
    <xf numFmtId="49" fontId="8" fillId="0" borderId="18" xfId="48" applyNumberFormat="1" applyFont="1" applyFill="1" applyBorder="1" applyAlignment="1">
      <alignment horizontal="justify" vertical="center" wrapText="1"/>
    </xf>
    <xf numFmtId="49" fontId="8" fillId="2" borderId="18" xfId="48" applyNumberFormat="1" applyFont="1" applyFill="1" applyBorder="1" applyAlignment="1">
      <alignment horizontal="justify" vertical="center" wrapText="1"/>
    </xf>
    <xf numFmtId="49" fontId="8" fillId="2" borderId="2" xfId="48" applyNumberFormat="1" applyFont="1" applyFill="1" applyBorder="1" applyAlignment="1">
      <alignment horizontal="justify" vertical="center" wrapText="1"/>
    </xf>
    <xf numFmtId="49" fontId="8" fillId="7" borderId="2" xfId="48" applyNumberFormat="1" applyFont="1" applyFill="1" applyBorder="1" applyAlignment="1">
      <alignment horizontal="justify" vertical="center" wrapText="1"/>
    </xf>
    <xf numFmtId="49" fontId="7" fillId="0" borderId="0" xfId="50" applyNumberFormat="1" applyFont="1" applyAlignment="1">
      <alignment horizontal="justify" vertical="center" wrapText="1"/>
    </xf>
    <xf numFmtId="2" fontId="8" fillId="0" borderId="17" xfId="50" applyFont="1" applyBorder="1" applyAlignment="1">
      <alignment horizontal="center" vertical="center"/>
    </xf>
    <xf numFmtId="2" fontId="7" fillId="0" borderId="17" xfId="50" applyFont="1" applyBorder="1" applyAlignment="1">
      <alignment horizontal="center" vertical="center"/>
    </xf>
    <xf numFmtId="2" fontId="8" fillId="8" borderId="45" xfId="50" applyFont="1" applyFill="1" applyBorder="1" applyAlignment="1">
      <alignment horizontal="center" vertical="center"/>
    </xf>
    <xf numFmtId="2" fontId="7" fillId="2" borderId="0" xfId="46" applyNumberFormat="1" applyFont="1" applyFill="1" applyAlignment="1">
      <alignment horizontal="center" vertical="center"/>
    </xf>
    <xf numFmtId="2" fontId="8" fillId="2" borderId="0" xfId="46" applyNumberFormat="1" applyFont="1" applyFill="1" applyAlignment="1">
      <alignment horizontal="center" vertical="center"/>
    </xf>
    <xf numFmtId="2" fontId="7" fillId="0" borderId="17" xfId="48" applyNumberFormat="1" applyFont="1" applyFill="1" applyBorder="1" applyAlignment="1">
      <alignment horizontal="center" vertical="center"/>
    </xf>
    <xf numFmtId="1" fontId="7" fillId="0" borderId="0" xfId="50" applyNumberFormat="1" applyFont="1" applyBorder="1" applyAlignment="1">
      <alignment horizontal="center" vertical="center"/>
    </xf>
    <xf numFmtId="1" fontId="7" fillId="0" borderId="28" xfId="50" applyNumberFormat="1" applyFont="1" applyBorder="1" applyAlignment="1">
      <alignment horizontal="center" vertical="center"/>
    </xf>
    <xf numFmtId="1" fontId="8" fillId="0" borderId="19" xfId="50" applyNumberFormat="1" applyFont="1" applyBorder="1" applyAlignment="1">
      <alignment horizontal="center" vertical="center"/>
    </xf>
    <xf numFmtId="1" fontId="7" fillId="0" borderId="19" xfId="50" applyNumberFormat="1" applyFont="1" applyBorder="1" applyAlignment="1">
      <alignment horizontal="center" vertical="center"/>
    </xf>
    <xf numFmtId="1" fontId="8" fillId="8" borderId="44" xfId="50" applyNumberFormat="1" applyFont="1" applyFill="1" applyBorder="1" applyAlignment="1">
      <alignment horizontal="center" vertical="center"/>
    </xf>
    <xf numFmtId="1" fontId="8" fillId="2" borderId="19" xfId="50" applyNumberFormat="1" applyFont="1" applyFill="1" applyBorder="1" applyAlignment="1">
      <alignment horizontal="center" vertical="center"/>
    </xf>
    <xf numFmtId="1" fontId="8" fillId="7" borderId="37" xfId="48" applyNumberFormat="1" applyFont="1" applyFill="1" applyBorder="1" applyAlignment="1">
      <alignment horizontal="center" vertical="center"/>
    </xf>
    <xf numFmtId="1" fontId="8" fillId="7" borderId="29" xfId="48" applyNumberFormat="1" applyFont="1" applyFill="1" applyBorder="1" applyAlignment="1">
      <alignment horizontal="center" vertical="center"/>
    </xf>
    <xf numFmtId="1" fontId="8" fillId="0" borderId="29" xfId="48" applyNumberFormat="1" applyFont="1" applyFill="1" applyBorder="1" applyAlignment="1">
      <alignment horizontal="center" vertical="center"/>
    </xf>
    <xf numFmtId="1" fontId="7" fillId="2" borderId="19" xfId="48" applyNumberFormat="1" applyFont="1" applyFill="1" applyBorder="1" applyAlignment="1">
      <alignment horizontal="center" vertical="center"/>
    </xf>
    <xf numFmtId="1" fontId="7" fillId="0" borderId="19" xfId="48" applyNumberFormat="1" applyFont="1" applyFill="1" applyBorder="1" applyAlignment="1">
      <alignment horizontal="center" vertical="center"/>
    </xf>
    <xf numFmtId="1" fontId="8" fillId="2" borderId="19" xfId="48" applyNumberFormat="1" applyFont="1" applyFill="1" applyBorder="1" applyAlignment="1">
      <alignment horizontal="center" vertical="center"/>
    </xf>
    <xf numFmtId="1" fontId="8" fillId="0" borderId="42" xfId="48" applyNumberFormat="1" applyFont="1" applyFill="1" applyBorder="1" applyAlignment="1">
      <alignment horizontal="center" vertical="center"/>
    </xf>
    <xf numFmtId="1" fontId="8" fillId="2" borderId="7" xfId="48" applyNumberFormat="1" applyFont="1" applyFill="1" applyBorder="1" applyAlignment="1">
      <alignment horizontal="center" vertical="center"/>
    </xf>
    <xf numFmtId="1" fontId="8" fillId="2" borderId="4" xfId="48" applyNumberFormat="1" applyFont="1" applyFill="1" applyBorder="1" applyAlignment="1">
      <alignment horizontal="center" vertical="center"/>
    </xf>
    <xf numFmtId="1" fontId="8" fillId="0" borderId="37" xfId="48" applyNumberFormat="1" applyFont="1" applyFill="1" applyBorder="1" applyAlignment="1">
      <alignment horizontal="center" vertical="center"/>
    </xf>
    <xf numFmtId="1" fontId="8" fillId="0" borderId="4" xfId="48" applyNumberFormat="1" applyFont="1" applyFill="1" applyBorder="1" applyAlignment="1">
      <alignment horizontal="center" vertical="center"/>
    </xf>
    <xf numFmtId="1" fontId="8" fillId="0" borderId="19" xfId="48" applyNumberFormat="1" applyFont="1" applyFill="1" applyBorder="1" applyAlignment="1">
      <alignment horizontal="center" vertical="center"/>
    </xf>
    <xf numFmtId="1" fontId="8" fillId="7" borderId="7" xfId="48" applyNumberFormat="1" applyFont="1" applyFill="1" applyBorder="1" applyAlignment="1">
      <alignment horizontal="center" vertical="center"/>
    </xf>
    <xf numFmtId="1" fontId="7" fillId="0" borderId="0" xfId="50" applyNumberFormat="1" applyFont="1" applyAlignment="1">
      <alignment horizontal="center" vertical="center"/>
    </xf>
    <xf numFmtId="0" fontId="5" fillId="2" borderId="1" xfId="0" applyFont="1" applyFill="1" applyBorder="1" applyAlignment="1">
      <alignment horizontal="center" vertical="center"/>
    </xf>
    <xf numFmtId="0" fontId="10" fillId="5" borderId="0" xfId="7" applyFont="1" applyFill="1" applyAlignment="1">
      <alignment vertical="top"/>
    </xf>
    <xf numFmtId="0" fontId="27" fillId="0" borderId="0" xfId="45" applyNumberFormat="1" applyFont="1" applyBorder="1" applyAlignment="1">
      <alignment horizontal="center"/>
    </xf>
    <xf numFmtId="0" fontId="20" fillId="0" borderId="0" xfId="45" applyNumberFormat="1" applyFont="1" applyAlignment="1">
      <alignment horizontal="center" vertical="center"/>
    </xf>
    <xf numFmtId="0" fontId="27" fillId="0" borderId="0" xfId="45" applyNumberFormat="1" applyFont="1" applyAlignment="1">
      <alignment horizontal="center" vertical="center"/>
    </xf>
    <xf numFmtId="0" fontId="20" fillId="0" borderId="0" xfId="45" applyNumberFormat="1" applyFont="1"/>
    <xf numFmtId="0" fontId="17" fillId="0" borderId="0" xfId="45" applyNumberFormat="1" applyFont="1" applyBorder="1" applyAlignment="1">
      <alignment horizontal="center" vertical="center" wrapText="1"/>
    </xf>
    <xf numFmtId="0" fontId="27" fillId="0" borderId="32" xfId="45" applyNumberFormat="1" applyFont="1" applyBorder="1" applyAlignment="1">
      <alignment horizontal="center" vertical="center"/>
    </xf>
    <xf numFmtId="0" fontId="27" fillId="0" borderId="29" xfId="45" applyNumberFormat="1" applyFont="1" applyBorder="1" applyAlignment="1">
      <alignment horizontal="center" vertical="center"/>
    </xf>
    <xf numFmtId="0" fontId="27" fillId="0" borderId="0" xfId="45" applyNumberFormat="1" applyFont="1"/>
    <xf numFmtId="0" fontId="27" fillId="3" borderId="31" xfId="45" applyNumberFormat="1" applyFont="1" applyFill="1" applyBorder="1" applyAlignment="1">
      <alignment horizontal="center" vertical="center"/>
    </xf>
    <xf numFmtId="0" fontId="27" fillId="3" borderId="29" xfId="45" applyNumberFormat="1" applyFont="1" applyFill="1" applyBorder="1" applyAlignment="1">
      <alignment horizontal="justify" vertical="center"/>
    </xf>
    <xf numFmtId="0" fontId="20" fillId="3" borderId="29" xfId="45" applyNumberFormat="1" applyFont="1" applyFill="1" applyBorder="1" applyAlignment="1">
      <alignment horizontal="center"/>
    </xf>
    <xf numFmtId="0" fontId="20" fillId="0" borderId="29" xfId="45" applyNumberFormat="1" applyFont="1" applyBorder="1" applyAlignment="1">
      <alignment horizontal="center" vertical="center"/>
    </xf>
    <xf numFmtId="0" fontId="27" fillId="3" borderId="41" xfId="45" applyNumberFormat="1" applyFont="1" applyFill="1" applyBorder="1" applyAlignment="1">
      <alignment horizontal="center" vertical="center"/>
    </xf>
    <xf numFmtId="0" fontId="27" fillId="3" borderId="5" xfId="45" applyNumberFormat="1" applyFont="1" applyFill="1" applyBorder="1" applyAlignment="1">
      <alignment horizontal="justify" vertical="center" wrapText="1"/>
    </xf>
    <xf numFmtId="0" fontId="20" fillId="3" borderId="5" xfId="45" applyNumberFormat="1" applyFont="1" applyFill="1" applyBorder="1" applyAlignment="1">
      <alignment horizontal="center" vertical="center"/>
    </xf>
    <xf numFmtId="0" fontId="20" fillId="2" borderId="0" xfId="45" applyNumberFormat="1" applyFont="1" applyFill="1" applyBorder="1" applyAlignment="1">
      <alignment horizontal="center" vertical="center"/>
    </xf>
    <xf numFmtId="0" fontId="27" fillId="2" borderId="0" xfId="45" applyNumberFormat="1" applyFont="1" applyFill="1" applyBorder="1" applyAlignment="1">
      <alignment horizontal="left" vertical="center"/>
    </xf>
    <xf numFmtId="0" fontId="20" fillId="0" borderId="0" xfId="45" applyNumberFormat="1" applyFont="1" applyBorder="1" applyAlignment="1">
      <alignment horizontal="center" vertical="center"/>
    </xf>
    <xf numFmtId="0" fontId="27" fillId="0" borderId="0" xfId="45" applyNumberFormat="1" applyFont="1" applyBorder="1" applyAlignment="1">
      <alignment horizontal="center" vertical="center"/>
    </xf>
    <xf numFmtId="0" fontId="20" fillId="2" borderId="0" xfId="45" applyNumberFormat="1" applyFont="1" applyFill="1" applyAlignment="1">
      <alignment horizontal="center"/>
    </xf>
    <xf numFmtId="0" fontId="20" fillId="0" borderId="0" xfId="45" applyNumberFormat="1" applyFont="1" applyAlignment="1">
      <alignment horizontal="center"/>
    </xf>
    <xf numFmtId="0" fontId="20" fillId="0" borderId="0" xfId="45" applyNumberFormat="1" applyFont="1" applyBorder="1" applyAlignment="1">
      <alignment horizontal="center"/>
    </xf>
    <xf numFmtId="0" fontId="27" fillId="7" borderId="8" xfId="45" applyNumberFormat="1" applyFont="1" applyFill="1" applyBorder="1" applyAlignment="1">
      <alignment vertical="center"/>
    </xf>
    <xf numFmtId="0" fontId="20" fillId="4" borderId="31" xfId="45" applyNumberFormat="1" applyFont="1" applyFill="1" applyBorder="1" applyAlignment="1">
      <alignment horizontal="left" vertical="center" wrapText="1"/>
    </xf>
    <xf numFmtId="168" fontId="20" fillId="4" borderId="29" xfId="45" applyNumberFormat="1" applyFont="1" applyFill="1" applyBorder="1" applyAlignment="1">
      <alignment horizontal="center" vertical="center"/>
    </xf>
    <xf numFmtId="0" fontId="27" fillId="7" borderId="31" xfId="45" applyNumberFormat="1" applyFont="1" applyFill="1" applyBorder="1" applyAlignment="1">
      <alignment horizontal="center" vertical="center" wrapText="1"/>
    </xf>
    <xf numFmtId="0" fontId="20" fillId="0" borderId="0" xfId="45" applyNumberFormat="1" applyFont="1" applyAlignment="1">
      <alignment vertical="top" wrapText="1"/>
    </xf>
    <xf numFmtId="0" fontId="27" fillId="0" borderId="0" xfId="0" applyFont="1" applyAlignment="1">
      <alignment horizontal="center" vertical="center"/>
    </xf>
    <xf numFmtId="0" fontId="20" fillId="9" borderId="29" xfId="0" applyFont="1" applyFill="1" applyBorder="1" applyAlignment="1">
      <alignment horizontal="center" vertical="center" wrapText="1"/>
    </xf>
    <xf numFmtId="4" fontId="20" fillId="9" borderId="29" xfId="0" applyNumberFormat="1" applyFont="1" applyFill="1" applyBorder="1" applyAlignment="1">
      <alignment horizontal="center" vertical="center" wrapText="1"/>
    </xf>
    <xf numFmtId="4" fontId="20" fillId="0" borderId="29" xfId="0" applyNumberFormat="1" applyFont="1" applyBorder="1" applyAlignment="1">
      <alignment horizontal="center" vertical="center" wrapText="1"/>
    </xf>
    <xf numFmtId="4" fontId="20" fillId="0" borderId="29" xfId="0" applyNumberFormat="1" applyFont="1" applyBorder="1" applyAlignment="1">
      <alignment horizontal="center" vertical="center"/>
    </xf>
    <xf numFmtId="2" fontId="20" fillId="0" borderId="29" xfId="0" applyNumberFormat="1" applyFont="1" applyBorder="1" applyAlignment="1">
      <alignment horizontal="center" vertical="center"/>
    </xf>
    <xf numFmtId="2" fontId="20" fillId="0" borderId="0" xfId="0" applyNumberFormat="1" applyFont="1" applyAlignment="1">
      <alignment horizontal="center" vertical="center"/>
    </xf>
    <xf numFmtId="0" fontId="20" fillId="0" borderId="0" xfId="0" applyFont="1"/>
    <xf numFmtId="169" fontId="20" fillId="0" borderId="0" xfId="0" applyNumberFormat="1" applyFont="1" applyAlignment="1">
      <alignment horizontal="center" vertical="center"/>
    </xf>
    <xf numFmtId="4" fontId="27" fillId="0" borderId="0" xfId="45" applyNumberFormat="1" applyFont="1" applyBorder="1" applyAlignment="1">
      <alignment horizontal="center"/>
    </xf>
    <xf numFmtId="4" fontId="27" fillId="0" borderId="32" xfId="45" applyNumberFormat="1" applyFont="1" applyBorder="1" applyAlignment="1">
      <alignment horizontal="center" vertical="center" wrapText="1"/>
    </xf>
    <xf numFmtId="4" fontId="27" fillId="3" borderId="29" xfId="45" applyNumberFormat="1" applyFont="1" applyFill="1" applyBorder="1" applyAlignment="1">
      <alignment horizontal="center"/>
    </xf>
    <xf numFmtId="4" fontId="20" fillId="3" borderId="29" xfId="43" applyNumberFormat="1" applyFont="1" applyFill="1" applyBorder="1" applyAlignment="1">
      <alignment horizontal="center" vertical="center"/>
    </xf>
    <xf numFmtId="4" fontId="20" fillId="3" borderId="5" xfId="45" applyNumberFormat="1" applyFont="1" applyFill="1" applyBorder="1" applyAlignment="1">
      <alignment horizontal="center" vertical="center"/>
    </xf>
    <xf numFmtId="4" fontId="20" fillId="3" borderId="5" xfId="43" applyNumberFormat="1" applyFont="1" applyFill="1" applyBorder="1" applyAlignment="1">
      <alignment horizontal="center" vertical="center"/>
    </xf>
    <xf numFmtId="4" fontId="20" fillId="3" borderId="5" xfId="43" applyNumberFormat="1" applyFont="1" applyFill="1" applyBorder="1" applyAlignment="1" applyProtection="1">
      <alignment horizontal="center" vertical="center"/>
    </xf>
    <xf numFmtId="4" fontId="20" fillId="3" borderId="5" xfId="1" applyNumberFormat="1" applyFont="1" applyFill="1" applyBorder="1" applyAlignment="1">
      <alignment horizontal="center" vertical="center"/>
    </xf>
    <xf numFmtId="4" fontId="20" fillId="2" borderId="0" xfId="48" applyNumberFormat="1" applyFont="1" applyFill="1" applyBorder="1" applyAlignment="1">
      <alignment horizontal="center" vertical="center"/>
    </xf>
    <xf numFmtId="4" fontId="20" fillId="0" borderId="0" xfId="45" applyNumberFormat="1" applyFont="1" applyBorder="1" applyAlignment="1">
      <alignment horizontal="center"/>
    </xf>
    <xf numFmtId="4" fontId="20" fillId="0" borderId="0" xfId="43" applyNumberFormat="1" applyFont="1" applyFill="1" applyBorder="1" applyAlignment="1" applyProtection="1">
      <alignment horizontal="center" vertical="center"/>
    </xf>
    <xf numFmtId="4" fontId="27" fillId="2" borderId="0" xfId="45" applyNumberFormat="1" applyFont="1" applyFill="1" applyBorder="1" applyAlignment="1">
      <alignment horizontal="center"/>
    </xf>
    <xf numFmtId="4" fontId="20" fillId="0" borderId="0" xfId="45" applyNumberFormat="1" applyFont="1" applyAlignment="1">
      <alignment horizontal="center"/>
    </xf>
    <xf numFmtId="4" fontId="20" fillId="2" borderId="0" xfId="45" applyNumberFormat="1" applyFont="1" applyFill="1" applyAlignment="1">
      <alignment horizontal="center"/>
    </xf>
    <xf numFmtId="4" fontId="20" fillId="2" borderId="0" xfId="43" applyNumberFormat="1" applyFont="1" applyFill="1" applyBorder="1" applyAlignment="1">
      <alignment horizontal="center" vertical="center"/>
    </xf>
    <xf numFmtId="4" fontId="27" fillId="0" borderId="0" xfId="45" applyNumberFormat="1" applyFont="1" applyBorder="1" applyAlignment="1">
      <alignment vertical="center"/>
    </xf>
    <xf numFmtId="4" fontId="27" fillId="0" borderId="0" xfId="45" applyNumberFormat="1" applyFont="1" applyBorder="1" applyAlignment="1">
      <alignment horizontal="center" vertical="center"/>
    </xf>
    <xf numFmtId="4" fontId="27" fillId="2" borderId="0" xfId="45" applyNumberFormat="1" applyFont="1" applyFill="1" applyBorder="1"/>
    <xf numFmtId="4" fontId="27" fillId="7" borderId="30" xfId="45" applyNumberFormat="1" applyFont="1" applyFill="1" applyBorder="1" applyAlignment="1">
      <alignment horizontal="center" vertical="center" wrapText="1"/>
    </xf>
    <xf numFmtId="4" fontId="27" fillId="2" borderId="0" xfId="45" applyNumberFormat="1" applyFont="1" applyFill="1" applyBorder="1" applyAlignment="1">
      <alignment vertical="center" wrapText="1"/>
    </xf>
    <xf numFmtId="4" fontId="27" fillId="2" borderId="0" xfId="45" applyNumberFormat="1" applyFont="1" applyFill="1" applyBorder="1" applyAlignment="1">
      <alignment horizontal="center" vertical="center" wrapText="1"/>
    </xf>
    <xf numFmtId="4" fontId="27" fillId="2" borderId="0" xfId="45" applyNumberFormat="1" applyFont="1" applyFill="1" applyBorder="1" applyAlignment="1">
      <alignment horizontal="center" vertical="center"/>
    </xf>
    <xf numFmtId="4" fontId="20" fillId="0" borderId="0" xfId="45" applyNumberFormat="1" applyFont="1" applyBorder="1" applyAlignment="1">
      <alignment horizontal="center" vertical="center"/>
    </xf>
    <xf numFmtId="4" fontId="27" fillId="4" borderId="0" xfId="45" applyNumberFormat="1" applyFont="1" applyFill="1" applyBorder="1" applyAlignment="1">
      <alignment horizontal="center" vertical="center"/>
    </xf>
    <xf numFmtId="4" fontId="27" fillId="0" borderId="0" xfId="45" applyNumberFormat="1" applyFont="1" applyAlignment="1">
      <alignment horizontal="center"/>
    </xf>
    <xf numFmtId="49" fontId="27" fillId="0" borderId="21" xfId="45" applyNumberFormat="1" applyFont="1" applyBorder="1" applyAlignment="1">
      <alignment horizontal="center" vertical="center" wrapText="1"/>
    </xf>
    <xf numFmtId="2" fontId="20" fillId="0" borderId="29" xfId="45" applyFont="1" applyBorder="1" applyAlignment="1">
      <alignment horizontal="center" vertical="center"/>
    </xf>
    <xf numFmtId="2" fontId="27" fillId="0" borderId="29" xfId="45" applyFont="1" applyBorder="1" applyAlignment="1">
      <alignment horizontal="center" vertical="center"/>
    </xf>
    <xf numFmtId="0" fontId="27" fillId="0" borderId="34" xfId="45" applyNumberFormat="1" applyFont="1" applyBorder="1" applyAlignment="1">
      <alignment horizontal="center" vertical="center"/>
    </xf>
    <xf numFmtId="0" fontId="27" fillId="0" borderId="46" xfId="45" applyNumberFormat="1" applyFont="1" applyBorder="1" applyAlignment="1">
      <alignment horizontal="center" vertical="center"/>
    </xf>
    <xf numFmtId="9" fontId="5" fillId="0" borderId="1" xfId="1" applyFont="1" applyFill="1" applyBorder="1" applyAlignment="1">
      <alignment horizontal="center" vertical="center"/>
    </xf>
    <xf numFmtId="2" fontId="7" fillId="0" borderId="0" xfId="50" applyFont="1" applyBorder="1" applyAlignment="1">
      <alignment horizontal="left" vertical="top"/>
    </xf>
    <xf numFmtId="164" fontId="23" fillId="0" borderId="0" xfId="50" applyNumberFormat="1" applyFont="1" applyBorder="1" applyAlignment="1">
      <alignment horizontal="left" vertical="top"/>
    </xf>
    <xf numFmtId="44" fontId="7" fillId="0" borderId="0" xfId="50" applyNumberFormat="1" applyFont="1" applyAlignment="1">
      <alignment horizontal="center" vertical="center"/>
    </xf>
    <xf numFmtId="164" fontId="29" fillId="0" borderId="0" xfId="50" applyNumberFormat="1" applyFont="1" applyBorder="1" applyAlignment="1">
      <alignment horizontal="left" vertical="center"/>
    </xf>
    <xf numFmtId="44" fontId="7" fillId="0" borderId="0" xfId="57" applyFont="1" applyAlignment="1">
      <alignment horizontal="left" vertical="center"/>
    </xf>
    <xf numFmtId="10" fontId="7" fillId="0" borderId="0" xfId="1" applyNumberFormat="1" applyFont="1" applyAlignment="1">
      <alignment horizontal="left" vertical="center"/>
    </xf>
    <xf numFmtId="170" fontId="7" fillId="0" borderId="0" xfId="54" applyNumberFormat="1" applyFont="1" applyAlignment="1">
      <alignment horizontal="left" vertical="center"/>
    </xf>
    <xf numFmtId="44" fontId="7" fillId="0" borderId="0" xfId="50" applyNumberFormat="1" applyFont="1" applyAlignment="1">
      <alignment vertical="center"/>
    </xf>
    <xf numFmtId="2" fontId="22" fillId="0" borderId="18" xfId="46" applyNumberFormat="1" applyFont="1" applyBorder="1" applyAlignment="1">
      <alignment horizontal="left" vertical="center"/>
    </xf>
    <xf numFmtId="0" fontId="30" fillId="0" borderId="0" xfId="45" applyNumberFormat="1" applyFont="1" applyAlignment="1">
      <alignment horizontal="center" vertical="center"/>
    </xf>
    <xf numFmtId="2" fontId="30" fillId="0" borderId="0" xfId="45" applyFont="1" applyAlignment="1">
      <alignment horizontal="center" vertical="center"/>
    </xf>
    <xf numFmtId="4" fontId="30" fillId="0" borderId="0" xfId="45" applyNumberFormat="1" applyFont="1" applyAlignment="1">
      <alignment horizontal="center" vertical="center"/>
    </xf>
    <xf numFmtId="0" fontId="31" fillId="0" borderId="33" xfId="45" applyNumberFormat="1" applyFont="1" applyBorder="1" applyAlignment="1">
      <alignment horizontal="center" vertical="center"/>
    </xf>
    <xf numFmtId="0" fontId="31" fillId="0" borderId="34" xfId="45" applyNumberFormat="1" applyFont="1" applyBorder="1" applyAlignment="1">
      <alignment horizontal="center" vertical="center"/>
    </xf>
    <xf numFmtId="2" fontId="31" fillId="0" borderId="34" xfId="45" applyFont="1" applyBorder="1" applyAlignment="1">
      <alignment horizontal="center" vertical="center" wrapText="1"/>
    </xf>
    <xf numFmtId="2" fontId="30" fillId="0" borderId="29" xfId="45" applyFont="1" applyBorder="1" applyAlignment="1">
      <alignment horizontal="center" vertical="center"/>
    </xf>
    <xf numFmtId="2" fontId="30" fillId="0" borderId="29" xfId="43" applyNumberFormat="1" applyFont="1" applyFill="1" applyBorder="1" applyAlignment="1">
      <alignment horizontal="center" vertical="center"/>
    </xf>
    <xf numFmtId="2" fontId="30" fillId="0" borderId="29" xfId="0" applyNumberFormat="1" applyFont="1" applyBorder="1" applyAlignment="1">
      <alignment horizontal="center" vertical="center"/>
    </xf>
    <xf numFmtId="4" fontId="30" fillId="0" borderId="29" xfId="0" applyNumberFormat="1" applyFont="1" applyBorder="1" applyAlignment="1">
      <alignment horizontal="center" vertical="center" wrapText="1"/>
    </xf>
    <xf numFmtId="2" fontId="30" fillId="2" borderId="29" xfId="45" applyFont="1" applyFill="1" applyBorder="1" applyAlignment="1">
      <alignment horizontal="center" vertical="center"/>
    </xf>
    <xf numFmtId="0" fontId="30" fillId="0" borderId="29" xfId="45" applyNumberFormat="1" applyFont="1" applyBorder="1" applyAlignment="1">
      <alignment horizontal="center" vertical="center"/>
    </xf>
    <xf numFmtId="0" fontId="30" fillId="0" borderId="0" xfId="45" applyNumberFormat="1" applyFont="1" applyBorder="1" applyAlignment="1">
      <alignment horizontal="center" vertical="center"/>
    </xf>
    <xf numFmtId="2" fontId="30" fillId="4" borderId="0" xfId="43" applyNumberFormat="1" applyFont="1" applyFill="1" applyBorder="1" applyAlignment="1">
      <alignment horizontal="center" vertical="center"/>
    </xf>
    <xf numFmtId="168" fontId="30" fillId="0" borderId="0" xfId="45" applyNumberFormat="1" applyFont="1" applyAlignment="1">
      <alignment horizontal="center" vertical="center"/>
    </xf>
    <xf numFmtId="0" fontId="7" fillId="0" borderId="0" xfId="54" applyFont="1" applyAlignment="1">
      <alignment horizontal="left" vertical="center"/>
    </xf>
    <xf numFmtId="4" fontId="27" fillId="7" borderId="29" xfId="45" applyNumberFormat="1" applyFont="1" applyFill="1" applyBorder="1" applyAlignment="1">
      <alignment horizontal="center" vertical="center" wrapText="1"/>
    </xf>
    <xf numFmtId="49" fontId="27" fillId="2" borderId="21" xfId="45" applyNumberFormat="1" applyFont="1" applyFill="1" applyBorder="1" applyAlignment="1">
      <alignment horizontal="center" vertical="center" wrapText="1"/>
    </xf>
    <xf numFmtId="4" fontId="8" fillId="0" borderId="0" xfId="50" applyNumberFormat="1" applyFont="1" applyBorder="1" applyAlignment="1">
      <alignment horizontal="center" vertical="center"/>
    </xf>
    <xf numFmtId="44" fontId="20" fillId="0" borderId="29" xfId="0" applyNumberFormat="1" applyFont="1" applyBorder="1" applyAlignment="1">
      <alignment horizontal="center" vertical="center"/>
    </xf>
    <xf numFmtId="44" fontId="27" fillId="3" borderId="29" xfId="43" applyNumberFormat="1" applyFont="1" applyFill="1" applyBorder="1" applyAlignment="1">
      <alignment horizontal="center" vertical="center"/>
    </xf>
    <xf numFmtId="44" fontId="20" fillId="0" borderId="29" xfId="1" applyNumberFormat="1" applyFont="1" applyBorder="1" applyAlignment="1">
      <alignment horizontal="center" vertical="center"/>
    </xf>
    <xf numFmtId="44" fontId="27" fillId="3" borderId="5" xfId="43" applyNumberFormat="1" applyFont="1" applyFill="1" applyBorder="1" applyAlignment="1">
      <alignment horizontal="center" vertical="center"/>
    </xf>
    <xf numFmtId="4" fontId="30" fillId="9" borderId="29" xfId="0" applyNumberFormat="1" applyFont="1" applyFill="1" applyBorder="1" applyAlignment="1">
      <alignment horizontal="center" vertical="center" wrapText="1"/>
    </xf>
    <xf numFmtId="4" fontId="30" fillId="0" borderId="29" xfId="0" applyNumberFormat="1" applyFont="1" applyBorder="1" applyAlignment="1">
      <alignment horizontal="center" vertical="center"/>
    </xf>
    <xf numFmtId="2" fontId="30" fillId="0" borderId="0" xfId="0" applyNumberFormat="1" applyFont="1" applyAlignment="1">
      <alignment horizontal="center" vertical="center"/>
    </xf>
    <xf numFmtId="0" fontId="30" fillId="0" borderId="0" xfId="0" applyFont="1"/>
    <xf numFmtId="169" fontId="30" fillId="0" borderId="0" xfId="0" applyNumberFormat="1" applyFont="1" applyAlignment="1">
      <alignment horizontal="center" vertical="center"/>
    </xf>
    <xf numFmtId="44" fontId="30" fillId="0" borderId="29" xfId="1" applyNumberFormat="1" applyFont="1" applyBorder="1" applyAlignment="1">
      <alignment horizontal="center" vertical="center"/>
    </xf>
    <xf numFmtId="44" fontId="30" fillId="0" borderId="29" xfId="0" applyNumberFormat="1" applyFont="1" applyBorder="1" applyAlignment="1">
      <alignment horizontal="center" vertical="center"/>
    </xf>
    <xf numFmtId="0" fontId="30" fillId="0" borderId="31" xfId="45" applyNumberFormat="1" applyFont="1" applyBorder="1" applyAlignment="1">
      <alignment vertical="center" wrapText="1"/>
    </xf>
    <xf numFmtId="4" fontId="30" fillId="0" borderId="29" xfId="45" applyNumberFormat="1" applyFont="1" applyBorder="1" applyAlignment="1">
      <alignment horizontal="center" vertical="center" wrapText="1"/>
    </xf>
    <xf numFmtId="10" fontId="30" fillId="0" borderId="29" xfId="1" applyNumberFormat="1" applyFont="1" applyBorder="1" applyAlignment="1">
      <alignment horizontal="center" vertical="center"/>
    </xf>
    <xf numFmtId="2" fontId="30" fillId="0" borderId="31" xfId="45" applyFont="1" applyBorder="1" applyAlignment="1">
      <alignment vertical="center" wrapText="1"/>
    </xf>
    <xf numFmtId="2" fontId="20" fillId="0" borderId="0" xfId="45" applyFont="1" applyAlignment="1">
      <alignment horizontal="center" vertical="center"/>
    </xf>
    <xf numFmtId="0" fontId="20" fillId="4" borderId="36" xfId="45" applyNumberFormat="1" applyFont="1" applyFill="1" applyBorder="1" applyAlignment="1">
      <alignment horizontal="left" vertical="center" wrapText="1"/>
    </xf>
    <xf numFmtId="168" fontId="20" fillId="4" borderId="32" xfId="45" applyNumberFormat="1" applyFont="1" applyFill="1" applyBorder="1" applyAlignment="1">
      <alignment horizontal="center" vertical="center"/>
    </xf>
    <xf numFmtId="10" fontId="20" fillId="0" borderId="30" xfId="1" applyNumberFormat="1" applyFont="1" applyBorder="1" applyAlignment="1">
      <alignment horizontal="center" vertical="center"/>
    </xf>
    <xf numFmtId="0" fontId="32" fillId="2" borderId="1" xfId="0" applyFont="1" applyFill="1" applyBorder="1" applyAlignment="1">
      <alignment horizontal="center" vertical="center"/>
    </xf>
    <xf numFmtId="10" fontId="24" fillId="0" borderId="1" xfId="1" applyNumberFormat="1" applyFont="1" applyFill="1" applyBorder="1" applyAlignment="1">
      <alignment horizontal="center" vertical="center"/>
    </xf>
    <xf numFmtId="171" fontId="0" fillId="2" borderId="0" xfId="0" applyNumberFormat="1" applyFill="1"/>
    <xf numFmtId="14" fontId="27" fillId="0" borderId="22" xfId="45" applyNumberFormat="1" applyFont="1" applyBorder="1" applyAlignment="1">
      <alignment horizontal="center" vertical="center" wrapText="1"/>
    </xf>
    <xf numFmtId="1" fontId="27" fillId="0" borderId="22" xfId="45" applyNumberFormat="1" applyFont="1" applyBorder="1" applyAlignment="1">
      <alignment horizontal="center" vertical="center" wrapText="1"/>
    </xf>
    <xf numFmtId="49" fontId="31" fillId="0" borderId="22" xfId="45" applyNumberFormat="1" applyFont="1" applyBorder="1" applyAlignment="1">
      <alignment horizontal="center" vertical="center" wrapText="1"/>
    </xf>
    <xf numFmtId="49" fontId="31" fillId="2" borderId="22" xfId="45" applyNumberFormat="1" applyFont="1" applyFill="1" applyBorder="1" applyAlignment="1">
      <alignment horizontal="center" vertical="center" wrapText="1"/>
    </xf>
    <xf numFmtId="49" fontId="8" fillId="7" borderId="37" xfId="48" applyNumberFormat="1" applyFont="1" applyFill="1" applyBorder="1" applyAlignment="1">
      <alignment horizontal="justify" vertical="center" wrapText="1"/>
    </xf>
    <xf numFmtId="4" fontId="8" fillId="0" borderId="18" xfId="50" applyNumberFormat="1" applyFont="1" applyBorder="1" applyAlignment="1">
      <alignment horizontal="center" vertical="center"/>
    </xf>
    <xf numFmtId="4" fontId="8" fillId="0" borderId="6" xfId="50" applyNumberFormat="1" applyFont="1" applyBorder="1" applyAlignment="1">
      <alignment horizontal="center" vertical="center"/>
    </xf>
    <xf numFmtId="4" fontId="27" fillId="3" borderId="22" xfId="45" applyNumberFormat="1" applyFont="1" applyFill="1" applyBorder="1" applyAlignment="1">
      <alignment horizontal="center" vertical="center"/>
    </xf>
    <xf numFmtId="0" fontId="27" fillId="0" borderId="28" xfId="45" applyNumberFormat="1" applyFont="1" applyBorder="1" applyAlignment="1">
      <alignment horizontal="center"/>
    </xf>
    <xf numFmtId="4" fontId="27" fillId="0" borderId="27" xfId="45" applyNumberFormat="1" applyFont="1" applyBorder="1" applyAlignment="1">
      <alignment horizontal="center"/>
    </xf>
    <xf numFmtId="4" fontId="27" fillId="0" borderId="49" xfId="45" applyNumberFormat="1" applyFont="1" applyBorder="1" applyAlignment="1">
      <alignment horizontal="center" vertical="center" wrapText="1"/>
    </xf>
    <xf numFmtId="44" fontId="27" fillId="3" borderId="50" xfId="43" applyNumberFormat="1" applyFont="1" applyFill="1" applyBorder="1" applyAlignment="1">
      <alignment horizontal="center" vertical="center"/>
    </xf>
    <xf numFmtId="0" fontId="20" fillId="9" borderId="31" xfId="0" applyFont="1" applyFill="1" applyBorder="1" applyAlignment="1">
      <alignment horizontal="center" vertical="center" wrapText="1"/>
    </xf>
    <xf numFmtId="44" fontId="20" fillId="0" borderId="30" xfId="0" applyNumberFormat="1" applyFont="1" applyBorder="1" applyAlignment="1">
      <alignment horizontal="center" vertical="center"/>
    </xf>
    <xf numFmtId="44" fontId="27" fillId="3" borderId="30" xfId="43" applyNumberFormat="1" applyFont="1" applyFill="1" applyBorder="1" applyAlignment="1">
      <alignment horizontal="center" vertical="center"/>
    </xf>
    <xf numFmtId="0" fontId="30" fillId="9" borderId="31" xfId="0" applyFont="1" applyFill="1" applyBorder="1" applyAlignment="1">
      <alignment horizontal="center" vertical="center" wrapText="1"/>
    </xf>
    <xf numFmtId="0" fontId="30" fillId="9" borderId="36" xfId="0" applyFont="1" applyFill="1" applyBorder="1" applyAlignment="1">
      <alignment horizontal="center" vertical="center" wrapText="1"/>
    </xf>
    <xf numFmtId="0" fontId="20" fillId="9" borderId="32" xfId="0" applyFont="1" applyFill="1" applyBorder="1" applyAlignment="1">
      <alignment horizontal="center" vertical="center" wrapText="1"/>
    </xf>
    <xf numFmtId="4" fontId="20" fillId="9" borderId="32" xfId="0" applyNumberFormat="1" applyFont="1" applyFill="1" applyBorder="1" applyAlignment="1">
      <alignment horizontal="center" vertical="center" wrapText="1"/>
    </xf>
    <xf numFmtId="4" fontId="30" fillId="9" borderId="32" xfId="0" applyNumberFormat="1" applyFont="1" applyFill="1" applyBorder="1" applyAlignment="1">
      <alignment horizontal="center" vertical="center" wrapText="1"/>
    </xf>
    <xf numFmtId="4" fontId="30" fillId="0" borderId="32" xfId="0" applyNumberFormat="1" applyFont="1" applyBorder="1" applyAlignment="1">
      <alignment horizontal="center" vertical="center" wrapText="1"/>
    </xf>
    <xf numFmtId="4" fontId="30" fillId="0" borderId="32" xfId="0" applyNumberFormat="1" applyFont="1" applyBorder="1" applyAlignment="1">
      <alignment horizontal="center" vertical="center"/>
    </xf>
    <xf numFmtId="44" fontId="20" fillId="0" borderId="32" xfId="1" applyNumberFormat="1" applyFont="1" applyBorder="1" applyAlignment="1">
      <alignment horizontal="center" vertical="center"/>
    </xf>
    <xf numFmtId="44" fontId="20" fillId="0" borderId="32" xfId="0" applyNumberFormat="1" applyFont="1" applyBorder="1" applyAlignment="1">
      <alignment horizontal="center" vertical="center"/>
    </xf>
    <xf numFmtId="44" fontId="20" fillId="0" borderId="49" xfId="0" applyNumberFormat="1" applyFont="1" applyBorder="1" applyAlignment="1">
      <alignment horizontal="center" vertical="center"/>
    </xf>
    <xf numFmtId="2" fontId="30" fillId="0" borderId="36" xfId="45" applyFont="1" applyBorder="1" applyAlignment="1">
      <alignment vertical="center" wrapText="1"/>
    </xf>
    <xf numFmtId="4" fontId="30" fillId="0" borderId="32" xfId="45" applyNumberFormat="1" applyFont="1" applyBorder="1" applyAlignment="1">
      <alignment horizontal="center" vertical="center" wrapText="1"/>
    </xf>
    <xf numFmtId="10" fontId="30" fillId="0" borderId="32" xfId="1" applyNumberFormat="1" applyFont="1" applyBorder="1" applyAlignment="1">
      <alignment horizontal="center" vertical="center"/>
    </xf>
    <xf numFmtId="10" fontId="20" fillId="0" borderId="49" xfId="1" applyNumberFormat="1" applyFont="1" applyBorder="1" applyAlignment="1">
      <alignment horizontal="center" vertical="center"/>
    </xf>
    <xf numFmtId="4" fontId="27" fillId="3" borderId="47" xfId="45" applyNumberFormat="1" applyFont="1" applyFill="1" applyBorder="1" applyAlignment="1">
      <alignment horizontal="center" vertical="center" wrapText="1"/>
    </xf>
    <xf numFmtId="0" fontId="27" fillId="3" borderId="47" xfId="45" applyNumberFormat="1" applyFont="1" applyFill="1" applyBorder="1" applyAlignment="1">
      <alignment horizontal="center" vertical="center"/>
    </xf>
    <xf numFmtId="49" fontId="7" fillId="0" borderId="0" xfId="48" applyNumberFormat="1" applyFont="1" applyFill="1" applyBorder="1" applyAlignment="1">
      <alignment horizontal="left" vertical="center" wrapText="1"/>
    </xf>
    <xf numFmtId="2" fontId="34" fillId="0" borderId="17" xfId="48" applyNumberFormat="1" applyFont="1" applyFill="1" applyBorder="1" applyAlignment="1">
      <alignment horizontal="center" vertical="center"/>
    </xf>
    <xf numFmtId="2" fontId="33" fillId="0" borderId="0" xfId="50" applyFont="1" applyAlignment="1">
      <alignment vertical="center"/>
    </xf>
    <xf numFmtId="1" fontId="34" fillId="2" borderId="7" xfId="48" applyNumberFormat="1" applyFont="1" applyFill="1" applyBorder="1" applyAlignment="1">
      <alignment horizontal="center" vertical="center"/>
    </xf>
    <xf numFmtId="49" fontId="34" fillId="2" borderId="2" xfId="48" applyNumberFormat="1" applyFont="1" applyFill="1" applyBorder="1" applyAlignment="1">
      <alignment horizontal="justify" vertical="center" wrapText="1"/>
    </xf>
    <xf numFmtId="164" fontId="34" fillId="2" borderId="2" xfId="48" applyFont="1" applyFill="1" applyBorder="1" applyAlignment="1">
      <alignment horizontal="center" vertical="center"/>
    </xf>
    <xf numFmtId="2" fontId="34" fillId="2" borderId="2" xfId="46" applyNumberFormat="1" applyFont="1" applyFill="1" applyBorder="1" applyAlignment="1">
      <alignment horizontal="center" vertical="center"/>
    </xf>
    <xf numFmtId="2" fontId="34" fillId="2" borderId="2" xfId="48" applyNumberFormat="1" applyFont="1" applyFill="1" applyBorder="1" applyAlignment="1">
      <alignment horizontal="center" vertical="center"/>
    </xf>
    <xf numFmtId="1" fontId="34" fillId="2" borderId="4" xfId="48" applyNumberFormat="1" applyFont="1" applyFill="1" applyBorder="1" applyAlignment="1">
      <alignment horizontal="center" vertical="center"/>
    </xf>
    <xf numFmtId="49" fontId="34" fillId="2" borderId="18" xfId="48" applyNumberFormat="1" applyFont="1" applyFill="1" applyBorder="1" applyAlignment="1">
      <alignment horizontal="justify" vertical="center" wrapText="1"/>
    </xf>
    <xf numFmtId="164" fontId="34" fillId="2" borderId="18" xfId="48" applyFont="1" applyFill="1" applyBorder="1" applyAlignment="1">
      <alignment horizontal="center" vertical="center"/>
    </xf>
    <xf numFmtId="2" fontId="34" fillId="2" borderId="18" xfId="46" applyNumberFormat="1" applyFont="1" applyFill="1" applyBorder="1" applyAlignment="1">
      <alignment horizontal="center" vertical="center"/>
    </xf>
    <xf numFmtId="2" fontId="34" fillId="2" borderId="18" xfId="48" applyNumberFormat="1" applyFont="1" applyFill="1" applyBorder="1" applyAlignment="1">
      <alignment horizontal="center" vertical="center"/>
    </xf>
    <xf numFmtId="10" fontId="20" fillId="0" borderId="29" xfId="1" applyNumberFormat="1" applyFont="1" applyBorder="1" applyAlignment="1">
      <alignment horizontal="center" vertical="center"/>
    </xf>
    <xf numFmtId="10" fontId="20" fillId="3" borderId="29" xfId="1" applyNumberFormat="1" applyFont="1" applyFill="1" applyBorder="1" applyAlignment="1">
      <alignment horizontal="center" vertical="center"/>
    </xf>
    <xf numFmtId="10" fontId="27" fillId="3" borderId="29" xfId="1" applyNumberFormat="1" applyFont="1" applyFill="1" applyBorder="1" applyAlignment="1">
      <alignment horizontal="center"/>
    </xf>
    <xf numFmtId="10" fontId="20" fillId="0" borderId="29" xfId="1" applyNumberFormat="1" applyFont="1" applyBorder="1" applyAlignment="1">
      <alignment horizontal="center" vertical="center" wrapText="1"/>
    </xf>
    <xf numFmtId="10" fontId="30" fillId="0" borderId="29" xfId="1" applyNumberFormat="1" applyFont="1" applyBorder="1" applyAlignment="1">
      <alignment horizontal="center" vertical="center" wrapText="1"/>
    </xf>
    <xf numFmtId="10" fontId="30" fillId="0" borderId="32" xfId="1" applyNumberFormat="1" applyFont="1" applyBorder="1" applyAlignment="1">
      <alignment horizontal="center" vertical="center" wrapText="1"/>
    </xf>
    <xf numFmtId="164" fontId="35" fillId="0" borderId="29" xfId="54" applyNumberFormat="1" applyFont="1" applyBorder="1" applyAlignment="1">
      <alignment horizontal="center" vertical="center" wrapText="1"/>
    </xf>
    <xf numFmtId="44" fontId="27" fillId="0" borderId="0" xfId="45" applyNumberFormat="1" applyFont="1" applyAlignment="1">
      <alignment horizontal="center" vertical="center"/>
    </xf>
    <xf numFmtId="44" fontId="20" fillId="0" borderId="0" xfId="0" applyNumberFormat="1" applyFont="1" applyAlignment="1">
      <alignment horizontal="center" vertical="center"/>
    </xf>
    <xf numFmtId="44" fontId="30" fillId="0" borderId="0" xfId="0" applyNumberFormat="1" applyFont="1" applyAlignment="1">
      <alignment horizontal="center" vertical="center"/>
    </xf>
    <xf numFmtId="44" fontId="27" fillId="0" borderId="0" xfId="45" applyNumberFormat="1" applyFont="1"/>
    <xf numFmtId="0" fontId="20" fillId="0" borderId="31" xfId="0" applyFont="1" applyFill="1" applyBorder="1" applyAlignment="1">
      <alignment horizontal="center" vertical="center" wrapText="1"/>
    </xf>
    <xf numFmtId="2" fontId="8" fillId="2" borderId="35" xfId="46" applyNumberFormat="1" applyFont="1" applyFill="1" applyBorder="1" applyAlignment="1">
      <alignment horizontal="center" vertical="center"/>
    </xf>
    <xf numFmtId="2" fontId="8" fillId="2" borderId="6" xfId="48" applyNumberFormat="1" applyFont="1" applyFill="1" applyBorder="1" applyAlignment="1">
      <alignment horizontal="center" vertical="center"/>
    </xf>
    <xf numFmtId="164" fontId="23" fillId="2" borderId="0" xfId="50" applyNumberFormat="1" applyFont="1" applyFill="1" applyBorder="1" applyAlignment="1">
      <alignment horizontal="left" vertical="center"/>
    </xf>
    <xf numFmtId="2" fontId="7" fillId="2" borderId="0" xfId="50" applyFont="1" applyFill="1" applyBorder="1" applyAlignment="1">
      <alignment vertical="center"/>
    </xf>
    <xf numFmtId="2" fontId="7" fillId="2" borderId="0" xfId="50" applyFont="1" applyFill="1" applyAlignment="1">
      <alignment vertical="center"/>
    </xf>
    <xf numFmtId="2" fontId="8" fillId="2" borderId="17" xfId="48" applyNumberFormat="1" applyFont="1" applyFill="1" applyBorder="1" applyAlignment="1">
      <alignment horizontal="center" vertical="center"/>
    </xf>
    <xf numFmtId="2" fontId="8" fillId="2" borderId="0" xfId="50" applyFont="1" applyFill="1" applyBorder="1" applyAlignment="1">
      <alignment vertical="center"/>
    </xf>
    <xf numFmtId="1" fontId="8" fillId="2" borderId="29" xfId="48" applyNumberFormat="1" applyFont="1" applyFill="1" applyBorder="1" applyAlignment="1">
      <alignment horizontal="center" vertical="center"/>
    </xf>
    <xf numFmtId="49" fontId="8" fillId="2" borderId="35" xfId="48" applyNumberFormat="1" applyFont="1" applyFill="1" applyBorder="1" applyAlignment="1">
      <alignment horizontal="justify" vertical="center" wrapText="1"/>
    </xf>
    <xf numFmtId="164" fontId="8" fillId="2" borderId="35" xfId="48" applyFont="1" applyFill="1" applyBorder="1" applyAlignment="1">
      <alignment horizontal="center" vertical="center"/>
    </xf>
    <xf numFmtId="2" fontId="8" fillId="2" borderId="35" xfId="48" applyNumberFormat="1" applyFont="1" applyFill="1" applyBorder="1" applyAlignment="1">
      <alignment horizontal="center" vertical="center"/>
    </xf>
    <xf numFmtId="2" fontId="8" fillId="2" borderId="38" xfId="48" applyNumberFormat="1" applyFont="1" applyFill="1" applyBorder="1" applyAlignment="1">
      <alignment horizontal="center" vertical="center"/>
    </xf>
    <xf numFmtId="0" fontId="30" fillId="9" borderId="29" xfId="0" applyFont="1" applyFill="1" applyBorder="1" applyAlignment="1">
      <alignment horizontal="left" vertical="center" wrapText="1"/>
    </xf>
    <xf numFmtId="0" fontId="20" fillId="9" borderId="29" xfId="0" applyFont="1" applyFill="1" applyBorder="1" applyAlignment="1">
      <alignment horizontal="left" vertical="center" wrapText="1"/>
    </xf>
    <xf numFmtId="0" fontId="27" fillId="0" borderId="0" xfId="45" applyNumberFormat="1" applyFont="1" applyBorder="1" applyAlignment="1">
      <alignment horizontal="center"/>
    </xf>
    <xf numFmtId="4" fontId="20" fillId="2" borderId="0" xfId="45" applyNumberFormat="1" applyFont="1" applyFill="1" applyAlignment="1">
      <alignment horizontal="right" vertical="center"/>
    </xf>
    <xf numFmtId="4" fontId="20" fillId="0" borderId="0" xfId="45" applyNumberFormat="1" applyFont="1" applyAlignment="1">
      <alignment horizontal="right" vertical="center"/>
    </xf>
    <xf numFmtId="0" fontId="20" fillId="9" borderId="29" xfId="0" applyFont="1" applyFill="1" applyBorder="1" applyAlignment="1">
      <alignment horizontal="left" vertical="top" wrapText="1"/>
    </xf>
    <xf numFmtId="0" fontId="30" fillId="9" borderId="29" xfId="0" applyFont="1" applyFill="1" applyBorder="1" applyAlignment="1">
      <alignment horizontal="left" vertical="top" wrapText="1"/>
    </xf>
    <xf numFmtId="0" fontId="30" fillId="9" borderId="32" xfId="0" applyFont="1" applyFill="1" applyBorder="1" applyAlignment="1">
      <alignment horizontal="left" vertical="top" wrapText="1"/>
    </xf>
    <xf numFmtId="1" fontId="8" fillId="10" borderId="19" xfId="48" applyNumberFormat="1" applyFont="1" applyFill="1" applyBorder="1" applyAlignment="1">
      <alignment horizontal="center" vertical="center"/>
    </xf>
    <xf numFmtId="2" fontId="7" fillId="2" borderId="0" xfId="48" applyNumberFormat="1" applyFont="1" applyFill="1" applyBorder="1" applyAlignment="1">
      <alignment horizontal="left" vertical="center"/>
    </xf>
    <xf numFmtId="10" fontId="7" fillId="2" borderId="0" xfId="46" applyNumberFormat="1" applyFont="1" applyFill="1" applyAlignment="1">
      <alignment horizontal="center" vertical="center"/>
    </xf>
    <xf numFmtId="4" fontId="27" fillId="11" borderId="0" xfId="45" applyNumberFormat="1" applyFont="1" applyFill="1" applyAlignment="1">
      <alignment horizontal="center"/>
    </xf>
    <xf numFmtId="4" fontId="20" fillId="11" borderId="0" xfId="45" applyNumberFormat="1" applyFont="1" applyFill="1" applyAlignment="1">
      <alignment horizontal="right" vertical="center"/>
    </xf>
    <xf numFmtId="4" fontId="20" fillId="12" borderId="0" xfId="45" applyNumberFormat="1" applyFont="1" applyFill="1" applyAlignment="1">
      <alignment horizontal="right" vertical="center"/>
    </xf>
    <xf numFmtId="4" fontId="27" fillId="12" borderId="0" xfId="45" applyNumberFormat="1" applyFont="1" applyFill="1" applyAlignment="1">
      <alignment horizontal="center"/>
    </xf>
    <xf numFmtId="1" fontId="8" fillId="10" borderId="29" xfId="48" applyNumberFormat="1" applyFont="1" applyFill="1" applyBorder="1" applyAlignment="1">
      <alignment horizontal="center" vertical="center"/>
    </xf>
    <xf numFmtId="172" fontId="27" fillId="2" borderId="0" xfId="45" applyNumberFormat="1" applyFont="1" applyFill="1" applyBorder="1" applyAlignment="1">
      <alignment horizontal="center" vertical="center" wrapText="1"/>
    </xf>
    <xf numFmtId="2" fontId="29" fillId="0" borderId="0" xfId="50" applyFont="1" applyBorder="1" applyAlignment="1">
      <alignment vertical="center"/>
    </xf>
    <xf numFmtId="0" fontId="18" fillId="0" borderId="24" xfId="0" applyFont="1" applyBorder="1" applyAlignment="1">
      <alignment horizontal="center" vertical="center"/>
    </xf>
    <xf numFmtId="0" fontId="18" fillId="0" borderId="23" xfId="0" applyFont="1" applyBorder="1" applyAlignment="1">
      <alignment horizontal="center" vertical="center"/>
    </xf>
    <xf numFmtId="0" fontId="18" fillId="0" borderId="25" xfId="0" applyFont="1" applyBorder="1" applyAlignment="1">
      <alignment horizontal="center" vertical="center"/>
    </xf>
    <xf numFmtId="0" fontId="10" fillId="5" borderId="19" xfId="0" applyFont="1" applyFill="1" applyBorder="1" applyAlignment="1">
      <alignment horizontal="right"/>
    </xf>
    <xf numFmtId="0" fontId="10" fillId="5" borderId="17" xfId="0" applyFont="1" applyFill="1" applyBorder="1" applyAlignment="1">
      <alignment horizontal="right"/>
    </xf>
    <xf numFmtId="0" fontId="5" fillId="0" borderId="37" xfId="0" applyNumberFormat="1" applyFont="1" applyBorder="1" applyAlignment="1">
      <alignment horizontal="center"/>
    </xf>
    <xf numFmtId="0" fontId="5" fillId="0" borderId="38" xfId="0" applyNumberFormat="1" applyFont="1" applyBorder="1" applyAlignment="1">
      <alignment horizontal="center"/>
    </xf>
    <xf numFmtId="14" fontId="5" fillId="0" borderId="37" xfId="0" applyNumberFormat="1" applyFont="1" applyBorder="1" applyAlignment="1">
      <alignment horizontal="center"/>
    </xf>
    <xf numFmtId="14" fontId="5" fillId="0" borderId="38" xfId="0" applyNumberFormat="1" applyFont="1" applyBorder="1" applyAlignment="1">
      <alignment horizontal="center"/>
    </xf>
    <xf numFmtId="0" fontId="0" fillId="5" borderId="19" xfId="0" applyFill="1" applyBorder="1" applyAlignment="1">
      <alignment horizontal="center"/>
    </xf>
    <xf numFmtId="0" fontId="0" fillId="5" borderId="0" xfId="0" applyFill="1" applyAlignment="1">
      <alignment horizontal="center"/>
    </xf>
    <xf numFmtId="0" fontId="5" fillId="0" borderId="37" xfId="0" applyFont="1" applyBorder="1" applyAlignment="1">
      <alignment horizontal="center"/>
    </xf>
    <xf numFmtId="0" fontId="5" fillId="0" borderId="38" xfId="0" applyFont="1" applyBorder="1" applyAlignment="1">
      <alignment horizontal="center"/>
    </xf>
    <xf numFmtId="0" fontId="5" fillId="2" borderId="1" xfId="0" applyFont="1" applyFill="1" applyBorder="1" applyAlignment="1">
      <alignment horizontal="center" vertical="center" wrapText="1"/>
    </xf>
    <xf numFmtId="0" fontId="5" fillId="2" borderId="37" xfId="0" applyFont="1" applyFill="1" applyBorder="1" applyAlignment="1">
      <alignment horizontal="center" vertical="center" wrapText="1"/>
    </xf>
    <xf numFmtId="0" fontId="5" fillId="2" borderId="35" xfId="0" applyFont="1" applyFill="1" applyBorder="1" applyAlignment="1">
      <alignment horizontal="center" vertical="center" wrapText="1"/>
    </xf>
    <xf numFmtId="0" fontId="5" fillId="2" borderId="38" xfId="0" applyFont="1" applyFill="1" applyBorder="1" applyAlignment="1">
      <alignment horizontal="center" vertical="center" wrapText="1"/>
    </xf>
    <xf numFmtId="0" fontId="32" fillId="2" borderId="29" xfId="0" applyFont="1" applyFill="1" applyBorder="1" applyAlignment="1">
      <alignment horizontal="center" vertical="center"/>
    </xf>
    <xf numFmtId="14" fontId="32" fillId="2" borderId="29" xfId="0" applyNumberFormat="1" applyFont="1" applyFill="1" applyBorder="1" applyAlignment="1">
      <alignment horizontal="center" vertical="center"/>
    </xf>
    <xf numFmtId="0" fontId="21" fillId="6" borderId="13" xfId="0" applyFont="1" applyFill="1" applyBorder="1" applyAlignment="1">
      <alignment horizontal="center"/>
    </xf>
    <xf numFmtId="0" fontId="24" fillId="2" borderId="29" xfId="7" applyFont="1" applyFill="1" applyBorder="1" applyAlignment="1">
      <alignment horizontal="center"/>
    </xf>
    <xf numFmtId="0" fontId="24" fillId="2" borderId="29" xfId="46" applyFont="1" applyFill="1" applyBorder="1" applyAlignment="1">
      <alignment horizontal="center"/>
    </xf>
    <xf numFmtId="49" fontId="32" fillId="2" borderId="29" xfId="0" applyNumberFormat="1" applyFont="1" applyFill="1" applyBorder="1" applyAlignment="1">
      <alignment horizontal="center" vertical="center"/>
    </xf>
    <xf numFmtId="0" fontId="19" fillId="2" borderId="19" xfId="0" applyFont="1" applyFill="1" applyBorder="1" applyAlignment="1">
      <alignment horizontal="center"/>
    </xf>
    <xf numFmtId="0" fontId="19" fillId="2" borderId="0" xfId="0" applyFont="1" applyFill="1" applyAlignment="1">
      <alignment horizontal="center"/>
    </xf>
    <xf numFmtId="0" fontId="19" fillId="2" borderId="17" xfId="0" applyFont="1" applyFill="1" applyBorder="1" applyAlignment="1">
      <alignment horizontal="center"/>
    </xf>
    <xf numFmtId="0" fontId="5" fillId="2" borderId="29" xfId="46" applyFill="1" applyBorder="1" applyAlignment="1">
      <alignment horizontal="center"/>
    </xf>
    <xf numFmtId="0" fontId="20" fillId="2" borderId="19" xfId="0" applyFont="1" applyFill="1" applyBorder="1" applyAlignment="1">
      <alignment horizontal="center" vertical="center" wrapText="1"/>
    </xf>
    <xf numFmtId="0" fontId="20" fillId="2" borderId="0" xfId="0" applyFont="1" applyFill="1" applyAlignment="1">
      <alignment horizontal="center" vertical="center" wrapText="1"/>
    </xf>
    <xf numFmtId="0" fontId="20" fillId="2" borderId="17" xfId="0" applyFont="1" applyFill="1" applyBorder="1" applyAlignment="1">
      <alignment horizontal="center" vertical="center" wrapText="1"/>
    </xf>
    <xf numFmtId="168" fontId="30" fillId="0" borderId="29" xfId="45" applyNumberFormat="1" applyFont="1" applyBorder="1" applyAlignment="1">
      <alignment horizontal="center" vertical="center" wrapText="1"/>
    </xf>
    <xf numFmtId="0" fontId="30" fillId="0" borderId="29" xfId="45" applyNumberFormat="1" applyFont="1" applyBorder="1" applyAlignment="1">
      <alignment horizontal="center" vertical="center" wrapText="1"/>
    </xf>
    <xf numFmtId="168" fontId="30" fillId="0" borderId="32" xfId="45" applyNumberFormat="1" applyFont="1" applyBorder="1" applyAlignment="1">
      <alignment horizontal="center" vertical="center" wrapText="1"/>
    </xf>
    <xf numFmtId="0" fontId="30" fillId="0" borderId="32" xfId="45" applyNumberFormat="1" applyFont="1" applyBorder="1" applyAlignment="1">
      <alignment horizontal="center" vertical="center" wrapText="1"/>
    </xf>
    <xf numFmtId="168" fontId="27" fillId="3" borderId="24" xfId="45" applyNumberFormat="1" applyFont="1" applyFill="1" applyBorder="1" applyAlignment="1">
      <alignment horizontal="center" vertical="center"/>
    </xf>
    <xf numFmtId="0" fontId="27" fillId="3" borderId="25" xfId="45" applyNumberFormat="1" applyFont="1" applyFill="1" applyBorder="1" applyAlignment="1">
      <alignment horizontal="center" vertical="center"/>
    </xf>
    <xf numFmtId="10" fontId="30" fillId="4" borderId="37" xfId="1" applyNumberFormat="1" applyFont="1" applyFill="1" applyBorder="1" applyAlignment="1">
      <alignment horizontal="center" vertical="center"/>
    </xf>
    <xf numFmtId="10" fontId="30" fillId="4" borderId="40" xfId="1" applyNumberFormat="1" applyFont="1" applyFill="1" applyBorder="1" applyAlignment="1">
      <alignment horizontal="center" vertical="center"/>
    </xf>
    <xf numFmtId="4" fontId="30" fillId="4" borderId="43" xfId="45" applyNumberFormat="1" applyFont="1" applyFill="1" applyBorder="1" applyAlignment="1">
      <alignment horizontal="center" vertical="center"/>
    </xf>
    <xf numFmtId="4" fontId="30" fillId="4" borderId="48" xfId="45" applyNumberFormat="1" applyFont="1" applyFill="1" applyBorder="1" applyAlignment="1">
      <alignment horizontal="center" vertical="center"/>
    </xf>
    <xf numFmtId="0" fontId="27" fillId="3" borderId="8" xfId="45" applyNumberFormat="1" applyFont="1" applyFill="1" applyBorder="1" applyAlignment="1">
      <alignment horizontal="center"/>
    </xf>
    <xf numFmtId="0" fontId="27" fillId="3" borderId="9" xfId="45" applyNumberFormat="1" applyFont="1" applyFill="1" applyBorder="1" applyAlignment="1">
      <alignment horizontal="center"/>
    </xf>
    <xf numFmtId="0" fontId="27" fillId="3" borderId="10" xfId="45" applyNumberFormat="1" applyFont="1" applyFill="1" applyBorder="1" applyAlignment="1">
      <alignment horizontal="center"/>
    </xf>
    <xf numFmtId="0" fontId="27" fillId="7" borderId="29" xfId="45" applyNumberFormat="1" applyFont="1" applyFill="1" applyBorder="1" applyAlignment="1">
      <alignment horizontal="center" vertical="center" wrapText="1"/>
    </xf>
    <xf numFmtId="4" fontId="27" fillId="7" borderId="29" xfId="45" applyNumberFormat="1" applyFont="1" applyFill="1" applyBorder="1" applyAlignment="1">
      <alignment horizontal="center" vertical="center" wrapText="1"/>
    </xf>
    <xf numFmtId="44" fontId="27" fillId="3" borderId="25" xfId="45" applyNumberFormat="1" applyFont="1" applyFill="1" applyBorder="1" applyAlignment="1">
      <alignment horizontal="center" vertical="center"/>
    </xf>
    <xf numFmtId="49" fontId="27" fillId="2" borderId="14" xfId="45" applyNumberFormat="1" applyFont="1" applyFill="1" applyBorder="1" applyAlignment="1">
      <alignment horizontal="center" vertical="center" wrapText="1"/>
    </xf>
    <xf numFmtId="49" fontId="27" fillId="2" borderId="15" xfId="45" applyNumberFormat="1" applyFont="1" applyFill="1" applyBorder="1" applyAlignment="1">
      <alignment horizontal="center" vertical="center" wrapText="1"/>
    </xf>
    <xf numFmtId="49" fontId="27" fillId="0" borderId="14" xfId="45" applyNumberFormat="1" applyFont="1" applyBorder="1" applyAlignment="1">
      <alignment horizontal="center"/>
    </xf>
    <xf numFmtId="49" fontId="27" fillId="0" borderId="13" xfId="45" applyNumberFormat="1" applyFont="1" applyBorder="1" applyAlignment="1">
      <alignment horizontal="center"/>
    </xf>
    <xf numFmtId="49" fontId="27" fillId="0" borderId="15" xfId="45" applyNumberFormat="1" applyFont="1" applyBorder="1" applyAlignment="1">
      <alignment horizontal="center"/>
    </xf>
    <xf numFmtId="49" fontId="27" fillId="0" borderId="28" xfId="45" applyNumberFormat="1" applyFont="1" applyBorder="1" applyAlignment="1">
      <alignment horizontal="center"/>
    </xf>
    <xf numFmtId="49" fontId="27" fillId="0" borderId="0" xfId="45" applyNumberFormat="1" applyFont="1" applyBorder="1" applyAlignment="1">
      <alignment horizontal="center"/>
    </xf>
    <xf numFmtId="49" fontId="27" fillId="0" borderId="27" xfId="45" applyNumberFormat="1" applyFont="1" applyBorder="1" applyAlignment="1">
      <alignment horizontal="center"/>
    </xf>
    <xf numFmtId="49" fontId="27" fillId="2" borderId="21" xfId="45" applyNumberFormat="1" applyFont="1" applyFill="1" applyBorder="1" applyAlignment="1">
      <alignment horizontal="justify" vertical="justify" wrapText="1"/>
    </xf>
    <xf numFmtId="49" fontId="27" fillId="2" borderId="22" xfId="45" applyNumberFormat="1" applyFont="1" applyFill="1" applyBorder="1" applyAlignment="1">
      <alignment horizontal="justify" vertical="justify" wrapText="1"/>
    </xf>
    <xf numFmtId="49" fontId="27" fillId="2" borderId="21" xfId="45" applyNumberFormat="1" applyFont="1" applyFill="1" applyBorder="1" applyAlignment="1">
      <alignment horizontal="center" vertical="center"/>
    </xf>
    <xf numFmtId="49" fontId="27" fillId="2" borderId="22" xfId="45" applyNumberFormat="1" applyFont="1" applyFill="1" applyBorder="1" applyAlignment="1">
      <alignment horizontal="center" vertical="center"/>
    </xf>
    <xf numFmtId="49" fontId="27" fillId="2" borderId="21" xfId="45" applyNumberFormat="1" applyFont="1" applyFill="1" applyBorder="1" applyAlignment="1">
      <alignment horizontal="center" vertical="center" wrapText="1"/>
    </xf>
    <xf numFmtId="49" fontId="27" fillId="2" borderId="22" xfId="45" applyNumberFormat="1" applyFont="1" applyFill="1" applyBorder="1" applyAlignment="1">
      <alignment horizontal="center" vertical="center" wrapText="1"/>
    </xf>
    <xf numFmtId="49" fontId="31" fillId="2" borderId="26" xfId="45" applyNumberFormat="1" applyFont="1" applyFill="1" applyBorder="1" applyAlignment="1">
      <alignment horizontal="center" vertical="center" wrapText="1"/>
    </xf>
    <xf numFmtId="49" fontId="31" fillId="2" borderId="16" xfId="45" applyNumberFormat="1" applyFont="1" applyFill="1" applyBorder="1" applyAlignment="1">
      <alignment horizontal="center" vertical="center" wrapText="1"/>
    </xf>
    <xf numFmtId="49" fontId="27" fillId="2" borderId="13" xfId="45" applyNumberFormat="1" applyFont="1" applyFill="1" applyBorder="1" applyAlignment="1">
      <alignment horizontal="center" vertical="center" wrapText="1"/>
    </xf>
    <xf numFmtId="49" fontId="27" fillId="2" borderId="26" xfId="45" applyNumberFormat="1" applyFont="1" applyFill="1" applyBorder="1" applyAlignment="1">
      <alignment horizontal="center" vertical="center" wrapText="1"/>
    </xf>
    <xf numFmtId="49" fontId="27" fillId="2" borderId="20" xfId="45" applyNumberFormat="1" applyFont="1" applyFill="1" applyBorder="1" applyAlignment="1">
      <alignment horizontal="center" vertical="center" wrapText="1"/>
    </xf>
    <xf numFmtId="49" fontId="27" fillId="2" borderId="16" xfId="45" applyNumberFormat="1" applyFont="1" applyFill="1" applyBorder="1" applyAlignment="1">
      <alignment horizontal="center" vertical="center" wrapText="1"/>
    </xf>
    <xf numFmtId="4" fontId="30" fillId="4" borderId="37" xfId="45" applyNumberFormat="1" applyFont="1" applyFill="1" applyBorder="1" applyAlignment="1">
      <alignment horizontal="center" vertical="center"/>
    </xf>
    <xf numFmtId="4" fontId="30" fillId="4" borderId="40" xfId="45" applyNumberFormat="1" applyFont="1" applyFill="1" applyBorder="1" applyAlignment="1">
      <alignment horizontal="center" vertical="center"/>
    </xf>
    <xf numFmtId="0" fontId="27" fillId="0" borderId="28" xfId="45" applyNumberFormat="1" applyFont="1" applyBorder="1" applyAlignment="1">
      <alignment horizontal="center"/>
    </xf>
    <xf numFmtId="0" fontId="27" fillId="0" borderId="0" xfId="45" applyNumberFormat="1" applyFont="1" applyBorder="1" applyAlignment="1">
      <alignment horizontal="center"/>
    </xf>
    <xf numFmtId="0" fontId="27" fillId="0" borderId="27" xfId="45" applyNumberFormat="1" applyFont="1" applyBorder="1" applyAlignment="1">
      <alignment horizontal="center"/>
    </xf>
    <xf numFmtId="0" fontId="27" fillId="0" borderId="8" xfId="45" applyNumberFormat="1" applyFont="1" applyBorder="1" applyAlignment="1">
      <alignment horizontal="center" vertical="center"/>
    </xf>
    <xf numFmtId="0" fontId="27" fillId="0" borderId="36" xfId="45" applyNumberFormat="1" applyFont="1" applyBorder="1" applyAlignment="1">
      <alignment horizontal="center" vertical="center"/>
    </xf>
    <xf numFmtId="0" fontId="27" fillId="0" borderId="9" xfId="45" applyNumberFormat="1" applyFont="1" applyBorder="1" applyAlignment="1">
      <alignment horizontal="center" vertical="center" wrapText="1"/>
    </xf>
    <xf numFmtId="0" fontId="27" fillId="0" borderId="32" xfId="45" applyNumberFormat="1" applyFont="1" applyBorder="1" applyAlignment="1">
      <alignment horizontal="center" vertical="center" wrapText="1"/>
    </xf>
    <xf numFmtId="0" fontId="27" fillId="0" borderId="9" xfId="45" applyNumberFormat="1" applyFont="1" applyBorder="1" applyAlignment="1">
      <alignment horizontal="center"/>
    </xf>
    <xf numFmtId="0" fontId="20" fillId="0" borderId="9" xfId="45" applyNumberFormat="1" applyFont="1" applyBorder="1" applyAlignment="1">
      <alignment horizontal="center"/>
    </xf>
    <xf numFmtId="4" fontId="27" fillId="0" borderId="9" xfId="45" applyNumberFormat="1" applyFont="1" applyBorder="1" applyAlignment="1">
      <alignment horizontal="center"/>
    </xf>
    <xf numFmtId="4" fontId="27" fillId="0" borderId="9" xfId="45" applyNumberFormat="1" applyFont="1" applyBorder="1" applyAlignment="1">
      <alignment horizontal="center" vertical="center" wrapText="1"/>
    </xf>
    <xf numFmtId="4" fontId="27" fillId="0" borderId="10" xfId="45" applyNumberFormat="1" applyFont="1" applyBorder="1" applyAlignment="1">
      <alignment horizontal="center" vertical="center" wrapText="1"/>
    </xf>
    <xf numFmtId="4" fontId="27" fillId="3" borderId="26" xfId="45" applyNumberFormat="1" applyFont="1" applyFill="1" applyBorder="1" applyAlignment="1">
      <alignment horizontal="center" vertical="center"/>
    </xf>
    <xf numFmtId="4" fontId="27" fillId="3" borderId="20" xfId="45" applyNumberFormat="1" applyFont="1" applyFill="1" applyBorder="1" applyAlignment="1">
      <alignment horizontal="center" vertical="center"/>
    </xf>
    <xf numFmtId="4" fontId="27" fillId="3" borderId="16" xfId="45" applyNumberFormat="1" applyFont="1" applyFill="1" applyBorder="1" applyAlignment="1">
      <alignment horizontal="center" vertical="center"/>
    </xf>
    <xf numFmtId="0" fontId="27" fillId="3" borderId="33" xfId="45" applyNumberFormat="1" applyFont="1" applyFill="1" applyBorder="1" applyAlignment="1">
      <alignment horizontal="center"/>
    </xf>
    <xf numFmtId="0" fontId="27" fillId="3" borderId="34" xfId="45" applyNumberFormat="1" applyFont="1" applyFill="1" applyBorder="1" applyAlignment="1">
      <alignment horizontal="center"/>
    </xf>
    <xf numFmtId="0" fontId="27" fillId="7" borderId="11" xfId="45" applyNumberFormat="1" applyFont="1" applyFill="1" applyBorder="1" applyAlignment="1">
      <alignment horizontal="center" vertical="center"/>
    </xf>
    <xf numFmtId="0" fontId="27" fillId="7" borderId="39" xfId="45" applyNumberFormat="1" applyFont="1" applyFill="1" applyBorder="1" applyAlignment="1">
      <alignment horizontal="center" vertical="center"/>
    </xf>
    <xf numFmtId="0" fontId="27" fillId="7" borderId="12" xfId="45" applyNumberFormat="1" applyFont="1" applyFill="1" applyBorder="1" applyAlignment="1">
      <alignment horizontal="center" vertical="center"/>
    </xf>
    <xf numFmtId="4" fontId="8" fillId="0" borderId="0" xfId="50" applyNumberFormat="1" applyFont="1" applyBorder="1" applyAlignment="1">
      <alignment horizontal="center" vertical="center"/>
    </xf>
    <xf numFmtId="49" fontId="7" fillId="0" borderId="19" xfId="50" applyNumberFormat="1" applyFont="1" applyBorder="1" applyAlignment="1">
      <alignment horizontal="left" vertical="center"/>
    </xf>
    <xf numFmtId="49" fontId="7" fillId="0" borderId="0" xfId="50" applyNumberFormat="1" applyFont="1" applyBorder="1" applyAlignment="1">
      <alignment horizontal="left" vertical="center"/>
    </xf>
    <xf numFmtId="49" fontId="7" fillId="0" borderId="17" xfId="50" applyNumberFormat="1" applyFont="1" applyBorder="1" applyAlignment="1">
      <alignment horizontal="left" vertical="center"/>
    </xf>
    <xf numFmtId="0" fontId="8" fillId="8" borderId="7" xfId="50" applyNumberFormat="1" applyFont="1" applyFill="1" applyBorder="1" applyAlignment="1">
      <alignment horizontal="center" vertical="center" wrapText="1"/>
    </xf>
    <xf numFmtId="0" fontId="8" fillId="8" borderId="2" xfId="50" applyNumberFormat="1" applyFont="1" applyFill="1" applyBorder="1" applyAlignment="1">
      <alignment horizontal="center" vertical="center" wrapText="1"/>
    </xf>
    <xf numFmtId="0" fontId="8" fillId="8" borderId="3" xfId="50" applyNumberFormat="1" applyFont="1" applyFill="1" applyBorder="1" applyAlignment="1">
      <alignment horizontal="center" vertical="center" wrapText="1"/>
    </xf>
    <xf numFmtId="2" fontId="8" fillId="8" borderId="19" xfId="50" applyFont="1" applyFill="1" applyBorder="1" applyAlignment="1">
      <alignment horizontal="center" vertical="center"/>
    </xf>
    <xf numFmtId="2" fontId="8" fillId="8" borderId="0" xfId="50" applyFont="1" applyFill="1" applyBorder="1" applyAlignment="1">
      <alignment horizontal="center" vertical="center"/>
    </xf>
    <xf numFmtId="2" fontId="8" fillId="8" borderId="17" xfId="50" applyFont="1" applyFill="1" applyBorder="1" applyAlignment="1">
      <alignment horizontal="center" vertical="center"/>
    </xf>
    <xf numFmtId="4" fontId="8" fillId="0" borderId="18" xfId="50" applyNumberFormat="1" applyFont="1" applyBorder="1" applyAlignment="1">
      <alignment horizontal="center" vertical="center"/>
    </xf>
    <xf numFmtId="4" fontId="8" fillId="0" borderId="6" xfId="50" applyNumberFormat="1" applyFont="1" applyBorder="1" applyAlignment="1">
      <alignment horizontal="center" vertical="center"/>
    </xf>
  </cellXfs>
  <cellStyles count="58">
    <cellStyle name="Graphics" xfId="22" xr:uid="{00000000-0005-0000-0000-000000000000}"/>
    <cellStyle name="Moeda" xfId="57" builtinId="4"/>
    <cellStyle name="Moeda 2" xfId="8" xr:uid="{00000000-0005-0000-0000-000001000000}"/>
    <cellStyle name="Moeda 2 2" xfId="23" xr:uid="{00000000-0005-0000-0000-000002000000}"/>
    <cellStyle name="Moeda 3" xfId="14" xr:uid="{00000000-0005-0000-0000-000003000000}"/>
    <cellStyle name="Moeda 3 2" xfId="18" xr:uid="{00000000-0005-0000-0000-000004000000}"/>
    <cellStyle name="Moeda 4" xfId="51" xr:uid="{00000000-0005-0000-0000-000005000000}"/>
    <cellStyle name="Moeda0" xfId="24" xr:uid="{00000000-0005-0000-0000-000006000000}"/>
    <cellStyle name="Normal" xfId="0" builtinId="0"/>
    <cellStyle name="Normal 10" xfId="42" xr:uid="{00000000-0005-0000-0000-000008000000}"/>
    <cellStyle name="Normal 11" xfId="45" xr:uid="{00000000-0005-0000-0000-000009000000}"/>
    <cellStyle name="Normal 12" xfId="46" xr:uid="{00000000-0005-0000-0000-00000A000000}"/>
    <cellStyle name="Normal 13" xfId="50" xr:uid="{00000000-0005-0000-0000-00000B000000}"/>
    <cellStyle name="Normal 2" xfId="7" xr:uid="{00000000-0005-0000-0000-00000C000000}"/>
    <cellStyle name="Normal 2 2" xfId="52" xr:uid="{00000000-0005-0000-0000-00000D000000}"/>
    <cellStyle name="Normal 2 2 2" xfId="54" xr:uid="{00000000-0005-0000-0000-00000E000000}"/>
    <cellStyle name="Normal 3" xfId="15" xr:uid="{00000000-0005-0000-0000-00000F000000}"/>
    <cellStyle name="Normal 3 2" xfId="25" xr:uid="{00000000-0005-0000-0000-000010000000}"/>
    <cellStyle name="Normal 3 3" xfId="55" xr:uid="{00000000-0005-0000-0000-000011000000}"/>
    <cellStyle name="Normal 4" xfId="26" xr:uid="{00000000-0005-0000-0000-000012000000}"/>
    <cellStyle name="Normal 5" xfId="27" xr:uid="{00000000-0005-0000-0000-000013000000}"/>
    <cellStyle name="Normal 6" xfId="21" xr:uid="{00000000-0005-0000-0000-000014000000}"/>
    <cellStyle name="Normal 6 2" xfId="47" xr:uid="{00000000-0005-0000-0000-000015000000}"/>
    <cellStyle name="Normal 7" xfId="34" xr:uid="{00000000-0005-0000-0000-000016000000}"/>
    <cellStyle name="Normal 8" xfId="38" xr:uid="{00000000-0005-0000-0000-000017000000}"/>
    <cellStyle name="Normal 9" xfId="41" xr:uid="{00000000-0005-0000-0000-000018000000}"/>
    <cellStyle name="Porcentagem" xfId="1" builtinId="5"/>
    <cellStyle name="Porcentagem 2" xfId="2" xr:uid="{00000000-0005-0000-0000-00001A000000}"/>
    <cellStyle name="Porcentagem 2 2" xfId="29" xr:uid="{00000000-0005-0000-0000-00001B000000}"/>
    <cellStyle name="Porcentagem 2 3 2" xfId="53" xr:uid="{00000000-0005-0000-0000-00001C000000}"/>
    <cellStyle name="Porcentagem 3" xfId="9" xr:uid="{00000000-0005-0000-0000-00001D000000}"/>
    <cellStyle name="Porcentagem 4" xfId="12" xr:uid="{00000000-0005-0000-0000-00001E000000}"/>
    <cellStyle name="Porcentagem 4 2" xfId="20" xr:uid="{00000000-0005-0000-0000-00001F000000}"/>
    <cellStyle name="Porcentagem 5" xfId="28" xr:uid="{00000000-0005-0000-0000-000020000000}"/>
    <cellStyle name="Porcentagem 6" xfId="35" xr:uid="{00000000-0005-0000-0000-000021000000}"/>
    <cellStyle name="Porcentagem 7" xfId="39" xr:uid="{00000000-0005-0000-0000-000022000000}"/>
    <cellStyle name="Porcentagem 8" xfId="44" xr:uid="{00000000-0005-0000-0000-000023000000}"/>
    <cellStyle name="Separador de milhares 2" xfId="3" xr:uid="{00000000-0005-0000-0000-000024000000}"/>
    <cellStyle name="Separador de milhares 2 2" xfId="6" xr:uid="{00000000-0005-0000-0000-000025000000}"/>
    <cellStyle name="Separador de milhares 2 3" xfId="31" xr:uid="{00000000-0005-0000-0000-000026000000}"/>
    <cellStyle name="Separador de milhares 3" xfId="4" xr:uid="{00000000-0005-0000-0000-000027000000}"/>
    <cellStyle name="Separador de milhares 3 2" xfId="5" xr:uid="{00000000-0005-0000-0000-000028000000}"/>
    <cellStyle name="Separador de milhares 3 3" xfId="33" xr:uid="{00000000-0005-0000-0000-000029000000}"/>
    <cellStyle name="Separador de milhares 3 4" xfId="37" xr:uid="{00000000-0005-0000-0000-00002A000000}"/>
    <cellStyle name="Separador de milhares 4" xfId="10" xr:uid="{00000000-0005-0000-0000-00002B000000}"/>
    <cellStyle name="Separador de milhares 5" xfId="11" xr:uid="{00000000-0005-0000-0000-00002C000000}"/>
    <cellStyle name="Separador de milhares 6" xfId="13" xr:uid="{00000000-0005-0000-0000-00002D000000}"/>
    <cellStyle name="Separador de milhares 6 2" xfId="17" xr:uid="{00000000-0005-0000-0000-00002E000000}"/>
    <cellStyle name="Separador de milhares 7" xfId="16" xr:uid="{00000000-0005-0000-0000-00002F000000}"/>
    <cellStyle name="Separador de milhares 8" xfId="19" xr:uid="{00000000-0005-0000-0000-000030000000}"/>
    <cellStyle name="Vírgula 2" xfId="30" xr:uid="{00000000-0005-0000-0000-000031000000}"/>
    <cellStyle name="Vírgula 2 2" xfId="48" xr:uid="{00000000-0005-0000-0000-000032000000}"/>
    <cellStyle name="Vírgula 3" xfId="36" xr:uid="{00000000-0005-0000-0000-000033000000}"/>
    <cellStyle name="Vírgula 3 2" xfId="56" xr:uid="{00000000-0005-0000-0000-000034000000}"/>
    <cellStyle name="Vírgula 4" xfId="40" xr:uid="{00000000-0005-0000-0000-000035000000}"/>
    <cellStyle name="Vírgula 5" xfId="43" xr:uid="{00000000-0005-0000-0000-000036000000}"/>
    <cellStyle name="Vírgula 6" xfId="49" xr:uid="{00000000-0005-0000-0000-000037000000}"/>
    <cellStyle name="Vírgula0" xfId="32" xr:uid="{00000000-0005-0000-0000-000038000000}"/>
  </cellStyles>
  <dxfs count="40">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ill>
        <patternFill>
          <bgColor rgb="FFFFD1D1"/>
        </patternFill>
      </fill>
    </dxf>
    <dxf>
      <font>
        <color rgb="FF006100"/>
      </font>
      <fill>
        <patternFill>
          <bgColor rgb="FFC6EFCE"/>
        </patternFill>
      </fill>
    </dxf>
    <dxf>
      <font>
        <color rgb="FF9C0006"/>
      </font>
      <fill>
        <patternFill>
          <bgColor rgb="FFFFC7CE"/>
        </patternFill>
      </fill>
    </dxf>
    <dxf>
      <fill>
        <patternFill>
          <bgColor theme="6" tint="0.79998168889431442"/>
        </patternFill>
      </fill>
    </dxf>
    <dxf>
      <font>
        <color rgb="FFFF0000"/>
      </font>
      <fill>
        <patternFill>
          <bgColor rgb="FFFFFFDD"/>
        </patternFill>
      </fill>
    </dxf>
    <dxf>
      <fill>
        <patternFill>
          <bgColor rgb="FFFFB9B9"/>
        </patternFill>
      </fill>
    </dxf>
  </dxfs>
  <tableStyles count="0" defaultTableStyle="TableStyleMedium9" defaultPivotStyle="PivotStyleLight16"/>
  <colors>
    <mruColors>
      <color rgb="FFFFFF9F"/>
      <color rgb="FFFFFFDD"/>
      <color rgb="FFFFFFCD"/>
      <color rgb="FFFFD1D1"/>
      <color rgb="FFFFB9B9"/>
      <color rgb="FFFFE5E5"/>
      <color rgb="FFFFFFBD"/>
      <color rgb="FFFFC9C9"/>
      <color rgb="FFFFFFC1"/>
      <color rgb="FFFFFF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theme" Target="theme/theme1.xml"/><Relationship Id="rId5" Type="http://schemas.openxmlformats.org/officeDocument/2006/relationships/externalLink" Target="externalLinks/externalLink2.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calcChain" Target="calcChain.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1866900</xdr:colOff>
          <xdr:row>0</xdr:row>
          <xdr:rowOff>95250</xdr:rowOff>
        </xdr:from>
        <xdr:to>
          <xdr:col>1</xdr:col>
          <xdr:colOff>3419475</xdr:colOff>
          <xdr:row>6</xdr:row>
          <xdr:rowOff>85725</xdr:rowOff>
        </xdr:to>
        <xdr:sp macro="" textlink="">
          <xdr:nvSpPr>
            <xdr:cNvPr id="31745" name="Object 1" hidden="1">
              <a:extLst>
                <a:ext uri="{63B3BB69-23CF-44E3-9099-C40C66FF867C}">
                  <a14:compatExt spid="_x0000_s31745"/>
                </a:ext>
                <a:ext uri="{FF2B5EF4-FFF2-40B4-BE49-F238E27FC236}">
                  <a16:creationId xmlns:a16="http://schemas.microsoft.com/office/drawing/2014/main" id="{00000000-0008-0000-0100-0000017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209550</xdr:colOff>
          <xdr:row>1</xdr:row>
          <xdr:rowOff>66675</xdr:rowOff>
        </xdr:from>
        <xdr:to>
          <xdr:col>1</xdr:col>
          <xdr:colOff>438150</xdr:colOff>
          <xdr:row>6</xdr:row>
          <xdr:rowOff>57150</xdr:rowOff>
        </xdr:to>
        <xdr:sp macro="" textlink="">
          <xdr:nvSpPr>
            <xdr:cNvPr id="32769" name="Object 1" hidden="1">
              <a:extLst>
                <a:ext uri="{63B3BB69-23CF-44E3-9099-C40C66FF867C}">
                  <a14:compatExt spid="_x0000_s32769"/>
                </a:ext>
                <a:ext uri="{FF2B5EF4-FFF2-40B4-BE49-F238E27FC236}">
                  <a16:creationId xmlns:a16="http://schemas.microsoft.com/office/drawing/2014/main" id="{00000000-0008-0000-0200-00000180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ASE%20SINAPI\MODELO%20ANALISE%20PRE&#199;OS%202015%20BASE%20SINAPI.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ristiano\Desktop\SIN%20SUPERINT\ESCOLAS\QUADRAS%20ESPORTIVAS\CONT_2013-040_R00_M01%20-%2088.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jailson\Documents\Jailson%20Belo\SIN%20-%20An&#225;lises%20e%20Or&#231;amento\An&#225;ilise%20Empresas\0.%20At&#233;%20Dezembro_2015\ANALISE%202013.1%20SECRETARI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gilson\Desktop\Galinhos\C&#243;pia%20de%20Quantitativos%20-%20Escola%20Alvorada%20-%20GENARD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Setor%20de%20Or&#231;amento\SIN\OR&#199;AMENTOS%20SINAPI\Modelo%20Or&#231;amento%20201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Setor%20de%20Or&#231;amento\SIN\PROJETOS%20E%20OR&#199;AMENTOS%202012\CENTRO%20ADMINISTRATIVO%20INTEGRADO%20(%20CENTRAL%20DO%20CIDAD&#195;O,%20DETRAN%20E%20RODOVI&#193;RIA)\AN&#193;LISE%20OR&#199;AMENTO%20CENTRO%20ADM%20INTEGRADO%20(FINAL)%2028%2003%20201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025/Obras/11-SIN-Cobertura_Quadra_PM-Nova_Cruz/Readequa&#231;&#227;o/01/SIN-Cobertura_Quadra_PM-Nova_Cruz-Readequa&#231;&#227;o-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ÁLISE"/>
      <sheetName val="BABSIN"/>
      <sheetName val="BASE"/>
      <sheetName val="COMPOSIÇÕES"/>
      <sheetName val="PESQUISA MERCADOLOGICA"/>
      <sheetName val="AUX"/>
      <sheetName val="BASE2013"/>
      <sheetName val="Pla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DOS_BASICOS"/>
      <sheetName val="DADOS_READ"/>
      <sheetName val="READ"/>
      <sheetName val="DADOS_MEDIÇÃO"/>
      <sheetName val="MEDIÇÃO"/>
      <sheetName val="M01"/>
      <sheetName val="M02"/>
      <sheetName val="M03"/>
      <sheetName val="MEMÓRIA"/>
      <sheetName val="LOCAIS"/>
      <sheetName val="LIVRE"/>
      <sheetName val="Plan1"/>
    </sheetNames>
    <sheetDataSet>
      <sheetData sheetId="0">
        <row r="25">
          <cell r="D25">
            <v>0.25</v>
          </cell>
        </row>
      </sheetData>
      <sheetData sheetId="1">
        <row r="19">
          <cell r="C19" t="str">
            <v>01</v>
          </cell>
          <cell r="D19" t="str">
            <v>01</v>
          </cell>
          <cell r="E19" t="str">
            <v>SERVIÇOS PRELIMINARES</v>
          </cell>
          <cell r="F19" t="str">
            <v>SERVIÇOS PRELIMINARES</v>
          </cell>
          <cell r="G19">
            <v>0</v>
          </cell>
          <cell r="H19" t="str">
            <v>01</v>
          </cell>
          <cell r="I19">
            <v>0</v>
          </cell>
          <cell r="J19">
            <v>0</v>
          </cell>
          <cell r="K19">
            <v>9</v>
          </cell>
          <cell r="L19" t="str">
            <v>T</v>
          </cell>
          <cell r="M19">
            <v>0</v>
          </cell>
        </row>
        <row r="20">
          <cell r="C20" t="str">
            <v>0101</v>
          </cell>
          <cell r="D20" t="str">
            <v>1.1</v>
          </cell>
          <cell r="E20" t="str">
            <v>LOCAÇÃO DA OBRA (GABARITO)</v>
          </cell>
          <cell r="F20" t="str">
            <v>LOCAÇÃO DA OBRA (GABARITO)</v>
          </cell>
          <cell r="G20" t="str">
            <v>m²</v>
          </cell>
          <cell r="H20" t="str">
            <v>01</v>
          </cell>
          <cell r="I20">
            <v>861.56</v>
          </cell>
          <cell r="J20">
            <v>3.76</v>
          </cell>
          <cell r="K20">
            <v>9</v>
          </cell>
          <cell r="L20">
            <v>0</v>
          </cell>
          <cell r="M20">
            <v>0</v>
          </cell>
        </row>
        <row r="21">
          <cell r="C21" t="str">
            <v>0102</v>
          </cell>
          <cell r="D21" t="str">
            <v>1.2</v>
          </cell>
          <cell r="E21" t="str">
            <v>INSTALAÇÕES PROVISÓRIAS DE ESGOTO</v>
          </cell>
          <cell r="F21" t="str">
            <v>INSTALAÇÕES PROVISÓRIAS DE ESGOTO</v>
          </cell>
          <cell r="G21" t="str">
            <v>und</v>
          </cell>
          <cell r="H21" t="str">
            <v>01</v>
          </cell>
          <cell r="I21">
            <v>1</v>
          </cell>
          <cell r="J21">
            <v>531.17999999999995</v>
          </cell>
          <cell r="K21">
            <v>9</v>
          </cell>
          <cell r="L21">
            <v>0</v>
          </cell>
          <cell r="M21">
            <v>0</v>
          </cell>
        </row>
        <row r="22">
          <cell r="C22" t="str">
            <v>0103</v>
          </cell>
          <cell r="D22" t="str">
            <v>1.3</v>
          </cell>
          <cell r="E22" t="str">
            <v>INSTALAÇÕES PROVISÓRIAS DE ENERGIA</v>
          </cell>
          <cell r="F22" t="str">
            <v>INSTALAÇÕES PROVISÓRIAS DE ENERGIA</v>
          </cell>
          <cell r="G22" t="str">
            <v>und</v>
          </cell>
          <cell r="H22" t="str">
            <v>01</v>
          </cell>
          <cell r="I22">
            <v>1</v>
          </cell>
          <cell r="J22">
            <v>528.54999999999995</v>
          </cell>
          <cell r="K22">
            <v>9</v>
          </cell>
          <cell r="L22">
            <v>0</v>
          </cell>
          <cell r="M22">
            <v>0</v>
          </cell>
        </row>
        <row r="23">
          <cell r="C23" t="str">
            <v>0104</v>
          </cell>
          <cell r="D23" t="str">
            <v>1.4</v>
          </cell>
          <cell r="E23" t="str">
            <v>INSTALAÇÕES PROVISÓRIAS DE ÁGUA</v>
          </cell>
          <cell r="F23" t="str">
            <v>INSTALAÇÕES PROVISÓRIAS DE ÁGUA</v>
          </cell>
          <cell r="G23" t="str">
            <v>und</v>
          </cell>
          <cell r="H23" t="str">
            <v>01</v>
          </cell>
          <cell r="I23">
            <v>1</v>
          </cell>
          <cell r="J23">
            <v>360.18</v>
          </cell>
          <cell r="K23">
            <v>9</v>
          </cell>
          <cell r="L23">
            <v>0</v>
          </cell>
          <cell r="M23">
            <v>0</v>
          </cell>
        </row>
        <row r="24">
          <cell r="C24" t="str">
            <v>0105</v>
          </cell>
          <cell r="D24" t="str">
            <v>1.5</v>
          </cell>
          <cell r="E24" t="str">
            <v>PLACA DA OBRA - PADRÃO GOVERNO FEDERAL</v>
          </cell>
          <cell r="F24" t="str">
            <v>PLACA DA OBRA - GOVERNO FEDERAL</v>
          </cell>
          <cell r="G24" t="str">
            <v>m²</v>
          </cell>
          <cell r="H24" t="str">
            <v>01</v>
          </cell>
          <cell r="I24">
            <v>3</v>
          </cell>
          <cell r="J24">
            <v>118.25</v>
          </cell>
          <cell r="K24">
            <v>9</v>
          </cell>
          <cell r="L24">
            <v>0</v>
          </cell>
          <cell r="M24">
            <v>0</v>
          </cell>
        </row>
        <row r="25">
          <cell r="C25" t="str">
            <v>0106</v>
          </cell>
          <cell r="D25" t="str">
            <v>1.6</v>
          </cell>
          <cell r="E25" t="str">
            <v>ABRIGO PROVISÓRIO COM PAVIMENTO PARA ALOJAMENTO E DEPÓSITO</v>
          </cell>
          <cell r="F25" t="str">
            <v>ABRIGO PROVISÓRIO</v>
          </cell>
          <cell r="G25" t="str">
            <v>m²</v>
          </cell>
          <cell r="H25" t="str">
            <v>02</v>
          </cell>
          <cell r="I25">
            <v>12</v>
          </cell>
          <cell r="J25">
            <v>109.29</v>
          </cell>
          <cell r="K25">
            <v>9</v>
          </cell>
          <cell r="L25">
            <v>0</v>
          </cell>
          <cell r="M25">
            <v>0</v>
          </cell>
        </row>
        <row r="26">
          <cell r="C26" t="str">
            <v>02</v>
          </cell>
          <cell r="D26" t="str">
            <v>02</v>
          </cell>
          <cell r="E26" t="str">
            <v>MOVIMENTO DE TERRA</v>
          </cell>
          <cell r="F26" t="str">
            <v>MOVIMENTO DE TERRA</v>
          </cell>
          <cell r="G26">
            <v>0</v>
          </cell>
          <cell r="H26" t="str">
            <v>01</v>
          </cell>
          <cell r="I26">
            <v>0</v>
          </cell>
          <cell r="J26">
            <v>0</v>
          </cell>
          <cell r="K26">
            <v>9</v>
          </cell>
          <cell r="L26" t="str">
            <v>T</v>
          </cell>
          <cell r="M26">
            <v>0</v>
          </cell>
        </row>
        <row r="27">
          <cell r="C27" t="str">
            <v>0201</v>
          </cell>
          <cell r="D27" t="str">
            <v>2.1</v>
          </cell>
          <cell r="E27" t="str">
            <v>ESCAVAÇÃO MANUAL SOLO DE 1A.CAT. PROF. ATÉ 1.50m</v>
          </cell>
          <cell r="F27" t="str">
            <v>ESCAV. MANUAL SOLO 1A.CAT. ATÉ 1.50m</v>
          </cell>
          <cell r="G27" t="str">
            <v>m³</v>
          </cell>
          <cell r="H27" t="str">
            <v>02</v>
          </cell>
          <cell r="I27">
            <v>54</v>
          </cell>
          <cell r="J27">
            <v>10.32</v>
          </cell>
          <cell r="K27">
            <v>9</v>
          </cell>
          <cell r="L27">
            <v>0</v>
          </cell>
          <cell r="M27">
            <v>0</v>
          </cell>
        </row>
        <row r="28">
          <cell r="C28" t="str">
            <v>0202</v>
          </cell>
          <cell r="D28" t="str">
            <v>2.2</v>
          </cell>
          <cell r="E28" t="str">
            <v>ATERRO COM COMPACTAÇÃO MANUAL S/ CONTROLE, MAT. C/AQUISIÇÃO</v>
          </cell>
          <cell r="F28" t="str">
            <v>ATERRO COMPACTAÇÃO MANUAL</v>
          </cell>
          <cell r="G28" t="str">
            <v>m³</v>
          </cell>
          <cell r="H28" t="str">
            <v>02</v>
          </cell>
          <cell r="I28">
            <v>295</v>
          </cell>
          <cell r="J28">
            <v>31.88</v>
          </cell>
          <cell r="K28">
            <v>9</v>
          </cell>
          <cell r="L28">
            <v>0</v>
          </cell>
          <cell r="M28">
            <v>0</v>
          </cell>
        </row>
        <row r="29">
          <cell r="C29" t="str">
            <v>0203</v>
          </cell>
          <cell r="D29" t="str">
            <v>2.3</v>
          </cell>
          <cell r="E29" t="str">
            <v>REATERRO C/COMPACTAÇÃO MANUAL S/ CONTROLE, MATERIAL DA VALA</v>
          </cell>
          <cell r="F29" t="str">
            <v>REATERRO COMPACTAÇÃO MANUAL</v>
          </cell>
          <cell r="G29" t="str">
            <v>m³</v>
          </cell>
          <cell r="H29" t="str">
            <v>02</v>
          </cell>
          <cell r="I29">
            <v>37.4</v>
          </cell>
          <cell r="J29">
            <v>10.32</v>
          </cell>
          <cell r="K29">
            <v>9</v>
          </cell>
          <cell r="L29">
            <v>0</v>
          </cell>
          <cell r="M29">
            <v>0</v>
          </cell>
        </row>
        <row r="30">
          <cell r="C30" t="str">
            <v>0204</v>
          </cell>
          <cell r="D30" t="str">
            <v>2.4</v>
          </cell>
          <cell r="E30" t="str">
            <v>CARGA MANUAL DE ENTULHO EM CAMINHÃO BASCULANTE</v>
          </cell>
          <cell r="F30" t="str">
            <v>CARGA MANUAL DE ENTULHO</v>
          </cell>
          <cell r="G30" t="str">
            <v>m³</v>
          </cell>
          <cell r="H30" t="str">
            <v>02</v>
          </cell>
          <cell r="I30">
            <v>15</v>
          </cell>
          <cell r="J30">
            <v>8.27</v>
          </cell>
          <cell r="K30">
            <v>9</v>
          </cell>
          <cell r="L30">
            <v>0</v>
          </cell>
          <cell r="M30">
            <v>0</v>
          </cell>
        </row>
        <row r="31">
          <cell r="C31" t="str">
            <v>0205</v>
          </cell>
          <cell r="D31" t="str">
            <v>2.5</v>
          </cell>
          <cell r="E31" t="str">
            <v>TRANSPORTE DE MATERIAL, EXCETO ROCHA EM CAMINHÃO ATÉ 10KM</v>
          </cell>
          <cell r="F31" t="str">
            <v>TRANSPORTE DE MATERIAL, EXCETO ROCHA</v>
          </cell>
          <cell r="G31" t="str">
            <v>m²</v>
          </cell>
          <cell r="H31" t="str">
            <v>02</v>
          </cell>
          <cell r="I31">
            <v>15</v>
          </cell>
          <cell r="J31">
            <v>6.35</v>
          </cell>
          <cell r="K31">
            <v>9</v>
          </cell>
          <cell r="L31">
            <v>0</v>
          </cell>
          <cell r="M31">
            <v>0</v>
          </cell>
        </row>
        <row r="32">
          <cell r="C32" t="str">
            <v>03</v>
          </cell>
          <cell r="D32" t="str">
            <v>03</v>
          </cell>
          <cell r="E32" t="str">
            <v>FUNDAÇÕES</v>
          </cell>
          <cell r="F32" t="str">
            <v>FUNDAÇÕES</v>
          </cell>
          <cell r="G32">
            <v>0</v>
          </cell>
          <cell r="H32" t="str">
            <v>01</v>
          </cell>
          <cell r="I32">
            <v>0</v>
          </cell>
          <cell r="J32">
            <v>0</v>
          </cell>
          <cell r="K32">
            <v>9</v>
          </cell>
          <cell r="L32" t="str">
            <v>T</v>
          </cell>
          <cell r="M32">
            <v>0</v>
          </cell>
        </row>
        <row r="33">
          <cell r="C33" t="str">
            <v>0301</v>
          </cell>
          <cell r="D33" t="str">
            <v>3.1</v>
          </cell>
          <cell r="E33" t="str">
            <v>VIGAS E BALDRAMES - FORMA PLANA CHAPA COMPENSADA PLASTIFICADA, ESP.= 12mm UTIL. 5X</v>
          </cell>
          <cell r="F33" t="str">
            <v>VIGAS E BALDRAMES - FORMA, 12mm 5X</v>
          </cell>
          <cell r="G33" t="str">
            <v>m²</v>
          </cell>
          <cell r="H33" t="str">
            <v>03</v>
          </cell>
          <cell r="I33">
            <v>260.60000000000002</v>
          </cell>
          <cell r="J33">
            <v>13.26</v>
          </cell>
          <cell r="K33">
            <v>9</v>
          </cell>
          <cell r="L33">
            <v>0</v>
          </cell>
          <cell r="M33">
            <v>0</v>
          </cell>
        </row>
        <row r="34">
          <cell r="C34" t="str">
            <v>0302</v>
          </cell>
          <cell r="D34" t="str">
            <v>3.2</v>
          </cell>
          <cell r="E34" t="str">
            <v>VIGAS E BALDRAMES - CONCRETO ARMADO FCK 25MPA, USINADO, INCLUSIVE LANÇAMENTO</v>
          </cell>
          <cell r="F34" t="str">
            <v>VIGAS E BALDRAMES - CONC. ARM. 25MPa</v>
          </cell>
          <cell r="G34" t="str">
            <v>m³</v>
          </cell>
          <cell r="H34" t="str">
            <v>02</v>
          </cell>
          <cell r="I34">
            <v>34.299999999999997</v>
          </cell>
          <cell r="J34">
            <v>1069.67</v>
          </cell>
          <cell r="K34">
            <v>9</v>
          </cell>
          <cell r="L34">
            <v>0</v>
          </cell>
          <cell r="M34">
            <v>0</v>
          </cell>
        </row>
        <row r="35">
          <cell r="C35" t="str">
            <v>0303</v>
          </cell>
          <cell r="D35" t="str">
            <v>3.3</v>
          </cell>
          <cell r="E35" t="str">
            <v>VIGAS BALDRAMES - IMPERBEALIZAÇÃO COM TINTA BETUMINOSA EM FUNDAÇÕES</v>
          </cell>
          <cell r="F35" t="str">
            <v>VIGAS BALDRAMES - IMPERM. TINTA BETUM.</v>
          </cell>
          <cell r="G35" t="str">
            <v>m²</v>
          </cell>
          <cell r="H35" t="str">
            <v>02</v>
          </cell>
          <cell r="I35">
            <v>72</v>
          </cell>
          <cell r="J35">
            <v>3.3</v>
          </cell>
          <cell r="K35">
            <v>9</v>
          </cell>
          <cell r="L35">
            <v>0</v>
          </cell>
          <cell r="M35">
            <v>0</v>
          </cell>
        </row>
        <row r="36">
          <cell r="C36" t="str">
            <v>0304</v>
          </cell>
          <cell r="D36" t="str">
            <v>3.4</v>
          </cell>
          <cell r="E36" t="str">
            <v>SAPATAS - CONCRETO ARMADO FCK 25MPA, USINADO, INCLUSIVE LANÇAMENTO</v>
          </cell>
          <cell r="F36" t="str">
            <v>SAPATAS - CONCRETO ARMADO 25MPa</v>
          </cell>
          <cell r="G36" t="str">
            <v>m³</v>
          </cell>
          <cell r="H36" t="str">
            <v>02</v>
          </cell>
          <cell r="I36">
            <v>6.3</v>
          </cell>
          <cell r="J36">
            <v>1069.67</v>
          </cell>
          <cell r="K36">
            <v>9</v>
          </cell>
          <cell r="L36">
            <v>0</v>
          </cell>
          <cell r="M36">
            <v>0</v>
          </cell>
        </row>
        <row r="37">
          <cell r="C37" t="str">
            <v>0305</v>
          </cell>
          <cell r="D37" t="str">
            <v>3.5</v>
          </cell>
          <cell r="E37" t="str">
            <v>SAPATAS - FORMA PLANA CHAPA COMPENSADA PLASTIFICADA, ESP.= 12mm UTIL. 5X</v>
          </cell>
          <cell r="F37" t="str">
            <v>SAPATAS - FORMA, 12mm 5X</v>
          </cell>
          <cell r="G37" t="str">
            <v>m²</v>
          </cell>
          <cell r="H37" t="str">
            <v>02</v>
          </cell>
          <cell r="I37">
            <v>26.6</v>
          </cell>
          <cell r="J37">
            <v>13.26</v>
          </cell>
          <cell r="K37">
            <v>9</v>
          </cell>
          <cell r="L37">
            <v>0</v>
          </cell>
          <cell r="M37">
            <v>0</v>
          </cell>
        </row>
        <row r="38">
          <cell r="C38" t="str">
            <v>0306</v>
          </cell>
          <cell r="D38" t="str">
            <v>3.6</v>
          </cell>
          <cell r="E38" t="str">
            <v>SAPATAS - LASTRO DE CONCRETO MAGRO TRAÇO 1:4:8, ESPESSURA 5cm, PREPARO MECÂNICO</v>
          </cell>
          <cell r="F38" t="str">
            <v>SAPATAS - LASTRO DE CONC. MAGRO</v>
          </cell>
          <cell r="G38" t="str">
            <v>m²</v>
          </cell>
          <cell r="H38" t="str">
            <v>02</v>
          </cell>
          <cell r="I38">
            <v>15</v>
          </cell>
          <cell r="J38">
            <v>8.81</v>
          </cell>
          <cell r="K38">
            <v>9</v>
          </cell>
          <cell r="L38">
            <v>0</v>
          </cell>
          <cell r="M38">
            <v>0</v>
          </cell>
        </row>
        <row r="39">
          <cell r="C39" t="str">
            <v>04</v>
          </cell>
          <cell r="D39" t="str">
            <v>04</v>
          </cell>
          <cell r="E39" t="str">
            <v>ESTRUTURAS</v>
          </cell>
          <cell r="F39" t="str">
            <v>ESTRUTURAS</v>
          </cell>
          <cell r="G39">
            <v>0</v>
          </cell>
          <cell r="H39" t="str">
            <v>01</v>
          </cell>
          <cell r="I39">
            <v>0</v>
          </cell>
          <cell r="J39">
            <v>0</v>
          </cell>
          <cell r="K39">
            <v>9</v>
          </cell>
          <cell r="L39" t="str">
            <v>T</v>
          </cell>
          <cell r="M39">
            <v>0</v>
          </cell>
        </row>
        <row r="40">
          <cell r="C40" t="str">
            <v>0401</v>
          </cell>
          <cell r="D40" t="str">
            <v>4.1</v>
          </cell>
          <cell r="E40" t="str">
            <v>PILARES - FORMA PLANA CHAPA COMPENSADA PLASTIFICADA, ESP.= 12mm UTIL. 5X</v>
          </cell>
          <cell r="F40" t="str">
            <v>PILARES - FORMA, 12mm 5X</v>
          </cell>
          <cell r="G40" t="str">
            <v>m²</v>
          </cell>
          <cell r="H40" t="str">
            <v>02</v>
          </cell>
          <cell r="I40">
            <v>185.5</v>
          </cell>
          <cell r="J40">
            <v>13.26</v>
          </cell>
          <cell r="K40">
            <v>9</v>
          </cell>
          <cell r="L40">
            <v>0</v>
          </cell>
          <cell r="M40">
            <v>0</v>
          </cell>
        </row>
        <row r="41">
          <cell r="C41" t="str">
            <v>0402</v>
          </cell>
          <cell r="D41" t="str">
            <v>4.2</v>
          </cell>
          <cell r="E41" t="str">
            <v>VIGAS - FORMA PLANA CHAPA COMPENSADA PLASTIFICADA, ESP.= 12mm UTIL. 5X</v>
          </cell>
          <cell r="F41" t="str">
            <v>VIGAS - FORMA, 12mm 5X</v>
          </cell>
          <cell r="G41" t="str">
            <v>m²</v>
          </cell>
          <cell r="H41" t="str">
            <v>02</v>
          </cell>
          <cell r="I41">
            <v>110</v>
          </cell>
          <cell r="J41">
            <v>13.26</v>
          </cell>
          <cell r="K41">
            <v>9</v>
          </cell>
          <cell r="L41">
            <v>0</v>
          </cell>
          <cell r="M41">
            <v>0</v>
          </cell>
        </row>
        <row r="42">
          <cell r="C42" t="str">
            <v>0403</v>
          </cell>
          <cell r="D42" t="str">
            <v>4.3</v>
          </cell>
          <cell r="E42" t="str">
            <v>PILARES - CONCRETO ARMADO FCK 25MPA, USINADO, INCLUSIVE LANÇAMENTO</v>
          </cell>
          <cell r="F42" t="str">
            <v>PILARES - CONCRETO ARMADO 25MPa</v>
          </cell>
          <cell r="G42" t="str">
            <v>m³</v>
          </cell>
          <cell r="H42" t="str">
            <v>02</v>
          </cell>
          <cell r="I42">
            <v>18</v>
          </cell>
          <cell r="J42">
            <v>1069.67</v>
          </cell>
          <cell r="K42">
            <v>9</v>
          </cell>
          <cell r="L42">
            <v>0</v>
          </cell>
          <cell r="M42">
            <v>0</v>
          </cell>
        </row>
        <row r="43">
          <cell r="C43" t="str">
            <v>0404</v>
          </cell>
          <cell r="D43" t="str">
            <v>4.4</v>
          </cell>
          <cell r="E43" t="str">
            <v>VIGAS - CONCRETO ARMADO FCK 25MPA, USINADO, INCLUSIVE LANÇAMENTO</v>
          </cell>
          <cell r="F43" t="str">
            <v>VIGAS - CONCRETO ARMADO 25MPa</v>
          </cell>
          <cell r="G43" t="str">
            <v>m³</v>
          </cell>
          <cell r="H43" t="str">
            <v>02</v>
          </cell>
          <cell r="I43">
            <v>7.5</v>
          </cell>
          <cell r="J43">
            <v>1069.67</v>
          </cell>
          <cell r="K43">
            <v>9</v>
          </cell>
          <cell r="L43">
            <v>0</v>
          </cell>
          <cell r="M43">
            <v>0</v>
          </cell>
        </row>
        <row r="44">
          <cell r="C44" t="str">
            <v>0405</v>
          </cell>
          <cell r="D44" t="str">
            <v>4.5</v>
          </cell>
          <cell r="E44" t="str">
            <v>LAJE PREMOLDADA PARA FORRO (esp. 12cm), INCLUSIVE CAPEAMENTO (esp. 4cm) E ESCORAMENTO</v>
          </cell>
          <cell r="F44" t="str">
            <v>LAJE PREMOLDADA PARA FORRO</v>
          </cell>
          <cell r="G44" t="str">
            <v>m²</v>
          </cell>
          <cell r="H44" t="str">
            <v>03</v>
          </cell>
          <cell r="I44">
            <v>88.6</v>
          </cell>
          <cell r="J44">
            <v>37.78</v>
          </cell>
          <cell r="K44">
            <v>9</v>
          </cell>
          <cell r="L44">
            <v>0</v>
          </cell>
          <cell r="M44">
            <v>0</v>
          </cell>
        </row>
        <row r="45">
          <cell r="C45" t="str">
            <v>05</v>
          </cell>
          <cell r="D45" t="str">
            <v>05</v>
          </cell>
          <cell r="E45" t="str">
            <v>PAREDES E PAINÉIS</v>
          </cell>
          <cell r="F45" t="str">
            <v>PAREDES E PAINÉIS</v>
          </cell>
          <cell r="G45">
            <v>0</v>
          </cell>
          <cell r="H45" t="str">
            <v>01</v>
          </cell>
          <cell r="I45">
            <v>0</v>
          </cell>
          <cell r="J45">
            <v>0</v>
          </cell>
          <cell r="K45">
            <v>9</v>
          </cell>
          <cell r="L45" t="str">
            <v>T</v>
          </cell>
          <cell r="M45">
            <v>0</v>
          </cell>
        </row>
        <row r="46">
          <cell r="C46" t="str">
            <v>0501</v>
          </cell>
          <cell r="D46" t="str">
            <v>5.1</v>
          </cell>
          <cell r="E46" t="str">
            <v>ALVENARIA DE TIJOLO CERÂMICO (9X19X24)cm, e=0,09m, COM ARGAMASSA (traço 1:2:8 - CIMENTO/CAL/AREIA), JUNTA DE 2,0cm</v>
          </cell>
          <cell r="F46" t="str">
            <v>ALV. TIJ. CERÂMICO (9X19X24)cm, e=0,09m</v>
          </cell>
          <cell r="G46" t="str">
            <v>m²</v>
          </cell>
          <cell r="H46" t="str">
            <v>03</v>
          </cell>
          <cell r="I46">
            <v>331</v>
          </cell>
          <cell r="J46">
            <v>28.68</v>
          </cell>
          <cell r="K46">
            <v>9</v>
          </cell>
          <cell r="L46">
            <v>0</v>
          </cell>
          <cell r="M46">
            <v>0</v>
          </cell>
        </row>
        <row r="47">
          <cell r="C47" t="str">
            <v>0502</v>
          </cell>
          <cell r="D47" t="str">
            <v>5.2</v>
          </cell>
          <cell r="E47" t="str">
            <v>ALVENARIA DE TIJOLO CERÂMICO (9X19X24)cm, e=0,19m, COM ARGAMASSA (TRAÇO 1:2:8 - CIMENTO/CAL/AREIA) JUNTA DE 2,0cm</v>
          </cell>
          <cell r="F47" t="str">
            <v>ALV. TIJ. CERÂMICO (9X19X24)cm, e=0,19m</v>
          </cell>
          <cell r="G47" t="str">
            <v>m²</v>
          </cell>
          <cell r="H47" t="str">
            <v>03</v>
          </cell>
          <cell r="I47">
            <v>183</v>
          </cell>
          <cell r="J47">
            <v>47.73</v>
          </cell>
          <cell r="K47">
            <v>9</v>
          </cell>
          <cell r="L47">
            <v>0</v>
          </cell>
          <cell r="M47">
            <v>0</v>
          </cell>
        </row>
        <row r="48">
          <cell r="C48" t="str">
            <v>0503</v>
          </cell>
          <cell r="D48" t="str">
            <v>5.3</v>
          </cell>
          <cell r="E48" t="str">
            <v>ALVENARIA DE TIJOLO CERÂMICO MACIÇO (4X9X17)cm, e=0,04m, COM ARGAMASSA (TRAÇO 1:2:8 - CIMENTO/CAL/AREIA) JUNTA DE 2,0cm</v>
          </cell>
          <cell r="F48" t="str">
            <v>ALV. TIJ. MACIÇO (4X9X17)cm, e=0,04m</v>
          </cell>
          <cell r="G48" t="str">
            <v>m²</v>
          </cell>
          <cell r="H48" t="str">
            <v>03</v>
          </cell>
          <cell r="I48">
            <v>28</v>
          </cell>
          <cell r="J48">
            <v>15.56</v>
          </cell>
          <cell r="K48">
            <v>9</v>
          </cell>
          <cell r="L48">
            <v>0</v>
          </cell>
          <cell r="M48">
            <v>0</v>
          </cell>
        </row>
        <row r="49">
          <cell r="C49" t="str">
            <v>0504</v>
          </cell>
          <cell r="D49" t="str">
            <v>5.4</v>
          </cell>
          <cell r="E49" t="str">
            <v>ELEMENTO VAZADO DE CONCRETO (40X40X7cm) ASSENTADOS COM ARGAMASSA (CIMENTO E AREIA, TRAÇO 1:3)</v>
          </cell>
          <cell r="F49" t="str">
            <v>ELEMENTO VAZADO (40X40X7cm)</v>
          </cell>
          <cell r="G49" t="str">
            <v>m²</v>
          </cell>
          <cell r="H49" t="str">
            <v>03</v>
          </cell>
          <cell r="I49">
            <v>6</v>
          </cell>
          <cell r="J49">
            <v>58.58</v>
          </cell>
          <cell r="K49">
            <v>9</v>
          </cell>
          <cell r="L49">
            <v>0</v>
          </cell>
          <cell r="M49">
            <v>0</v>
          </cell>
        </row>
        <row r="50">
          <cell r="C50" t="str">
            <v>0505</v>
          </cell>
          <cell r="D50" t="str">
            <v>5.5</v>
          </cell>
          <cell r="E50" t="str">
            <v>ELEMENTO VAZADO DE CONCRETO (50X50X10cm) ANTI-CHUVA ASSENTADOS COM ARGAMASSA (CIMENTO E AREIA, TRAÇO 1:3)</v>
          </cell>
          <cell r="F50" t="str">
            <v>ELEMENTO VAZADO (50X50X10cm)</v>
          </cell>
          <cell r="G50" t="str">
            <v>m²</v>
          </cell>
          <cell r="H50" t="str">
            <v>03</v>
          </cell>
          <cell r="I50">
            <v>148.1</v>
          </cell>
          <cell r="J50">
            <v>51.58</v>
          </cell>
          <cell r="K50">
            <v>9</v>
          </cell>
          <cell r="L50">
            <v>0</v>
          </cell>
          <cell r="M50">
            <v>0</v>
          </cell>
        </row>
        <row r="51">
          <cell r="C51" t="str">
            <v>06</v>
          </cell>
          <cell r="D51" t="str">
            <v>06</v>
          </cell>
          <cell r="E51" t="str">
            <v>COBERTURA</v>
          </cell>
          <cell r="F51" t="str">
            <v>COBERTURA</v>
          </cell>
          <cell r="G51">
            <v>0</v>
          </cell>
          <cell r="H51" t="str">
            <v>01</v>
          </cell>
          <cell r="I51">
            <v>0</v>
          </cell>
          <cell r="J51">
            <v>0</v>
          </cell>
          <cell r="K51">
            <v>9</v>
          </cell>
          <cell r="L51" t="str">
            <v>T</v>
          </cell>
          <cell r="M51">
            <v>0</v>
          </cell>
        </row>
        <row r="52">
          <cell r="C52" t="str">
            <v>0601</v>
          </cell>
          <cell r="D52" t="str">
            <v>6.1</v>
          </cell>
          <cell r="E52" t="str">
            <v>ESTRUTURA DE AÇO EM ARCO VÃO DE 30m</v>
          </cell>
          <cell r="F52" t="str">
            <v>ESTRUTURA DE AÇO EM ARCO VÃO DE 30m</v>
          </cell>
          <cell r="G52" t="str">
            <v>m²</v>
          </cell>
          <cell r="H52" t="str">
            <v>01</v>
          </cell>
          <cell r="I52">
            <v>1114</v>
          </cell>
          <cell r="J52">
            <v>201.59</v>
          </cell>
          <cell r="K52">
            <v>9</v>
          </cell>
          <cell r="L52">
            <v>0</v>
          </cell>
          <cell r="M52">
            <v>0</v>
          </cell>
        </row>
        <row r="53">
          <cell r="C53" t="str">
            <v>0602</v>
          </cell>
          <cell r="D53" t="str">
            <v>6.2</v>
          </cell>
          <cell r="E53" t="str">
            <v>TELHA METÁLICA EM CHAPA GALVANIZADA esp.=0,5mm</v>
          </cell>
          <cell r="F53" t="str">
            <v>TELHA METÁLICA CHAPA GALV. esp.=0,5mm</v>
          </cell>
          <cell r="G53" t="str">
            <v>m²</v>
          </cell>
          <cell r="H53" t="str">
            <v>02</v>
          </cell>
          <cell r="I53">
            <v>1114</v>
          </cell>
          <cell r="J53">
            <v>16.96</v>
          </cell>
          <cell r="K53">
            <v>9</v>
          </cell>
          <cell r="L53">
            <v>0</v>
          </cell>
          <cell r="M53">
            <v>0</v>
          </cell>
        </row>
        <row r="54">
          <cell r="C54" t="str">
            <v>07</v>
          </cell>
          <cell r="D54" t="str">
            <v>07</v>
          </cell>
          <cell r="E54" t="str">
            <v>INSTALAÇÕES GERAIS</v>
          </cell>
          <cell r="F54" t="str">
            <v>INSTALAÇÕES GERAIS</v>
          </cell>
          <cell r="G54">
            <v>0</v>
          </cell>
          <cell r="H54" t="str">
            <v>01</v>
          </cell>
          <cell r="I54">
            <v>0</v>
          </cell>
          <cell r="J54">
            <v>0</v>
          </cell>
          <cell r="K54">
            <v>9</v>
          </cell>
          <cell r="L54" t="str">
            <v>T</v>
          </cell>
          <cell r="M54">
            <v>0</v>
          </cell>
        </row>
        <row r="55">
          <cell r="C55" t="str">
            <v>0701</v>
          </cell>
          <cell r="D55" t="str">
            <v>7.1</v>
          </cell>
          <cell r="E55" t="str">
            <v>INSTALAÇÕES ELÉTRICAS</v>
          </cell>
          <cell r="F55" t="str">
            <v>INSTALAÇÕES ELÉTRICAS</v>
          </cell>
          <cell r="G55">
            <v>0</v>
          </cell>
          <cell r="H55" t="str">
            <v>01</v>
          </cell>
          <cell r="I55">
            <v>0</v>
          </cell>
          <cell r="J55">
            <v>0</v>
          </cell>
          <cell r="K55">
            <v>9</v>
          </cell>
          <cell r="L55" t="str">
            <v>T</v>
          </cell>
          <cell r="M55">
            <v>0</v>
          </cell>
        </row>
        <row r="56">
          <cell r="C56" t="str">
            <v>070101</v>
          </cell>
          <cell r="D56" t="str">
            <v>7.1.1</v>
          </cell>
          <cell r="E56" t="str">
            <v>TOMADA 2P+T DE EMBUTIR, 10A, COMPLETA</v>
          </cell>
          <cell r="F56" t="str">
            <v>TOMADA 2P+T DE EMBUTIR, 10A, COMPLETA</v>
          </cell>
          <cell r="G56" t="str">
            <v>und</v>
          </cell>
          <cell r="H56" t="str">
            <v>01</v>
          </cell>
          <cell r="I56">
            <v>2</v>
          </cell>
          <cell r="J56">
            <v>11.8</v>
          </cell>
          <cell r="K56">
            <v>9</v>
          </cell>
          <cell r="L56">
            <v>0</v>
          </cell>
          <cell r="M56">
            <v>0</v>
          </cell>
        </row>
        <row r="57">
          <cell r="C57" t="str">
            <v>070102</v>
          </cell>
          <cell r="D57" t="str">
            <v>7.1.2</v>
          </cell>
          <cell r="E57" t="str">
            <v>TOMADA 2P+T PARA PISO, 10A, COMPLETA</v>
          </cell>
          <cell r="F57" t="str">
            <v>TOMADA 2P+T PARA PISO, 10A, COMPLETA</v>
          </cell>
          <cell r="G57" t="str">
            <v>und</v>
          </cell>
          <cell r="H57" t="str">
            <v>01</v>
          </cell>
          <cell r="I57">
            <v>1</v>
          </cell>
          <cell r="J57">
            <v>10.54</v>
          </cell>
          <cell r="K57">
            <v>9</v>
          </cell>
          <cell r="L57">
            <v>0</v>
          </cell>
          <cell r="M57">
            <v>0</v>
          </cell>
        </row>
        <row r="58">
          <cell r="C58" t="str">
            <v>070103</v>
          </cell>
          <cell r="D58" t="str">
            <v>7.1.3</v>
          </cell>
          <cell r="E58" t="str">
            <v>INTERRUPTOR 1 TECLA SIMPLES</v>
          </cell>
          <cell r="F58" t="str">
            <v>INTERRUPTOR 1 TECLA SIMPLES</v>
          </cell>
          <cell r="G58" t="str">
            <v>und</v>
          </cell>
          <cell r="H58" t="str">
            <v>01</v>
          </cell>
          <cell r="I58">
            <v>7</v>
          </cell>
          <cell r="J58">
            <v>4.4000000000000004</v>
          </cell>
          <cell r="K58">
            <v>9</v>
          </cell>
          <cell r="L58">
            <v>0</v>
          </cell>
          <cell r="M58">
            <v>0</v>
          </cell>
        </row>
        <row r="59">
          <cell r="C59" t="str">
            <v>070104</v>
          </cell>
          <cell r="D59" t="str">
            <v>7.1.4</v>
          </cell>
          <cell r="E59" t="str">
            <v>CONDULETE EM ALUMÍNIO TIPO T DE 3/4", INCLUSIVE ACESSÓRIOS</v>
          </cell>
          <cell r="F59" t="str">
            <v>CONDULETE EM ALUMÍNIO TIPO T DE 3/4"</v>
          </cell>
          <cell r="G59" t="str">
            <v>und</v>
          </cell>
          <cell r="H59" t="str">
            <v>02</v>
          </cell>
          <cell r="I59">
            <v>5</v>
          </cell>
          <cell r="J59">
            <v>9.0299999999999994</v>
          </cell>
          <cell r="K59">
            <v>9</v>
          </cell>
          <cell r="L59">
            <v>0</v>
          </cell>
          <cell r="M59">
            <v>0</v>
          </cell>
        </row>
        <row r="60">
          <cell r="C60" t="str">
            <v>070105</v>
          </cell>
          <cell r="D60" t="str">
            <v>7.1.5</v>
          </cell>
          <cell r="E60" t="str">
            <v>CONDULETE EM ALUMÍNIO TIPO L DE 3/4", INCLUSIVE ACESSÓRIOS</v>
          </cell>
          <cell r="F60" t="str">
            <v>CONDULETE EM ALUMÍNIO TIPO L DE 3/4"</v>
          </cell>
          <cell r="G60" t="str">
            <v>und</v>
          </cell>
          <cell r="H60" t="str">
            <v>02</v>
          </cell>
          <cell r="I60">
            <v>5</v>
          </cell>
          <cell r="J60">
            <v>7.99</v>
          </cell>
          <cell r="K60">
            <v>9</v>
          </cell>
          <cell r="L60">
            <v>0</v>
          </cell>
          <cell r="M60">
            <v>0</v>
          </cell>
        </row>
        <row r="61">
          <cell r="C61" t="str">
            <v>070106</v>
          </cell>
          <cell r="D61" t="str">
            <v>7.1.6</v>
          </cell>
          <cell r="E61" t="str">
            <v>CONDULETE EM ALUMÍNIO TIPO TA DE 3/4", INCLUSIVE ACESSÓRIOS</v>
          </cell>
          <cell r="F61" t="str">
            <v>CONDULETE EM ALUMÍNIO TIPO TA DE 3/4"</v>
          </cell>
          <cell r="G61" t="str">
            <v>und</v>
          </cell>
          <cell r="H61" t="str">
            <v>02</v>
          </cell>
          <cell r="I61">
            <v>4</v>
          </cell>
          <cell r="J61">
            <v>9.0299999999999994</v>
          </cell>
          <cell r="K61">
            <v>9</v>
          </cell>
          <cell r="L61">
            <v>0</v>
          </cell>
          <cell r="M61">
            <v>0</v>
          </cell>
        </row>
        <row r="62">
          <cell r="C62" t="str">
            <v>070107</v>
          </cell>
          <cell r="D62" t="str">
            <v>7.1.7</v>
          </cell>
          <cell r="E62" t="str">
            <v>CONDULETE EM ALUMÍNIO TIPO XA DE 3/4", INCLUSIVE ACESSÓRIOS</v>
          </cell>
          <cell r="F62" t="str">
            <v>CONDULETE EM ALUMÍNIO TIPO XA DE 3/4"</v>
          </cell>
          <cell r="G62" t="str">
            <v>und</v>
          </cell>
          <cell r="H62" t="str">
            <v>02</v>
          </cell>
          <cell r="I62">
            <v>1</v>
          </cell>
          <cell r="J62">
            <v>10.1</v>
          </cell>
          <cell r="K62">
            <v>9</v>
          </cell>
          <cell r="L62">
            <v>0</v>
          </cell>
          <cell r="M62">
            <v>0</v>
          </cell>
        </row>
        <row r="63">
          <cell r="C63" t="str">
            <v>070108</v>
          </cell>
          <cell r="D63" t="str">
            <v>7.1.8</v>
          </cell>
          <cell r="E63" t="str">
            <v>ELETRODUTO DE PVC ROSCÁVEL RÍGIDO, 1", INCLUSIVE CURVAS</v>
          </cell>
          <cell r="F63" t="str">
            <v>ELETRODUTO PVC ROSCÁVEL RÍGIDO, 1"</v>
          </cell>
          <cell r="G63" t="str">
            <v>und</v>
          </cell>
          <cell r="H63" t="str">
            <v>02</v>
          </cell>
          <cell r="I63">
            <v>22</v>
          </cell>
          <cell r="J63">
            <v>5.56</v>
          </cell>
          <cell r="K63">
            <v>9</v>
          </cell>
          <cell r="L63">
            <v>0</v>
          </cell>
          <cell r="M63">
            <v>0</v>
          </cell>
        </row>
        <row r="64">
          <cell r="C64" t="str">
            <v>070109</v>
          </cell>
          <cell r="D64" t="str">
            <v>7.1.9</v>
          </cell>
          <cell r="E64" t="str">
            <v>ELETRODUTO DE PVC ROSCÁVEL RÍGIDO, 3/4", INCLUSIVE CURVAS</v>
          </cell>
          <cell r="F64" t="str">
            <v>ELETRODUTO PVC ROSCÁVEL RÍGIDO, 3/4"</v>
          </cell>
          <cell r="G64" t="str">
            <v>und</v>
          </cell>
          <cell r="H64" t="str">
            <v>02</v>
          </cell>
          <cell r="I64">
            <v>32</v>
          </cell>
          <cell r="J64">
            <v>3.19</v>
          </cell>
          <cell r="K64">
            <v>9</v>
          </cell>
          <cell r="L64">
            <v>0</v>
          </cell>
          <cell r="M64">
            <v>0</v>
          </cell>
        </row>
        <row r="65">
          <cell r="C65" t="str">
            <v>070110</v>
          </cell>
          <cell r="D65" t="str">
            <v>7.1.10</v>
          </cell>
          <cell r="E65" t="str">
            <v>ELETRODUTO DE PVC ROSCÁVEL RÍGIDO, 1 1/2", INCLUSIVE CURVAS</v>
          </cell>
          <cell r="F65" t="str">
            <v>ELETRODUTO PVC ROSCÁVEL RÍGIDO, 1 1/2"</v>
          </cell>
          <cell r="G65" t="str">
            <v>und</v>
          </cell>
          <cell r="H65" t="str">
            <v>02</v>
          </cell>
          <cell r="I65">
            <v>22</v>
          </cell>
          <cell r="J65">
            <v>10.35</v>
          </cell>
          <cell r="K65">
            <v>9</v>
          </cell>
          <cell r="L65">
            <v>0</v>
          </cell>
          <cell r="M65">
            <v>0</v>
          </cell>
        </row>
        <row r="66">
          <cell r="C66" t="str">
            <v>070111</v>
          </cell>
          <cell r="D66" t="str">
            <v>7.1.11</v>
          </cell>
          <cell r="E66" t="str">
            <v>ELETRODUTO DE FERRO GALVANIZADO D=3/4", INCLUSIVE CADEIRAS</v>
          </cell>
          <cell r="F66" t="str">
            <v>ELETRODUTO FERRO GALVANIZADO, 3/4"</v>
          </cell>
          <cell r="G66" t="str">
            <v>und</v>
          </cell>
          <cell r="H66" t="str">
            <v>02</v>
          </cell>
          <cell r="I66">
            <v>86</v>
          </cell>
          <cell r="J66">
            <v>8.5299999999999994</v>
          </cell>
          <cell r="K66">
            <v>9</v>
          </cell>
          <cell r="L66">
            <v>0</v>
          </cell>
          <cell r="M66">
            <v>0</v>
          </cell>
        </row>
        <row r="67">
          <cell r="C67" t="str">
            <v>070112</v>
          </cell>
          <cell r="D67" t="str">
            <v>7.1.12</v>
          </cell>
          <cell r="E67" t="str">
            <v>ELETRODUTO DE FERRO GALVANIZADO D=1", INCLUSIVE CADEIRAS</v>
          </cell>
          <cell r="F67" t="str">
            <v>ELETRODUTO FERRO GALVANIZADO 1"</v>
          </cell>
          <cell r="G67" t="str">
            <v>und</v>
          </cell>
          <cell r="H67" t="str">
            <v>02</v>
          </cell>
          <cell r="I67">
            <v>17</v>
          </cell>
          <cell r="J67">
            <v>10.37</v>
          </cell>
          <cell r="K67">
            <v>9</v>
          </cell>
          <cell r="L67">
            <v>0</v>
          </cell>
          <cell r="M67">
            <v>0</v>
          </cell>
        </row>
        <row r="68">
          <cell r="C68" t="str">
            <v>070113</v>
          </cell>
          <cell r="D68" t="str">
            <v>7.1.13</v>
          </cell>
          <cell r="E68" t="str">
            <v>ELETRODUTO DE FERRO GALVANIZADO D=1 1/2", INCLUSIVE CADEIRAS</v>
          </cell>
          <cell r="F68" t="str">
            <v>ELETRODUTO FERRO GALVANIZADO 1 1/2"</v>
          </cell>
          <cell r="G68" t="str">
            <v>und</v>
          </cell>
          <cell r="H68" t="str">
            <v>02</v>
          </cell>
          <cell r="I68">
            <v>34</v>
          </cell>
          <cell r="J68">
            <v>16</v>
          </cell>
          <cell r="K68">
            <v>9</v>
          </cell>
          <cell r="L68">
            <v>0</v>
          </cell>
          <cell r="M68">
            <v>0</v>
          </cell>
        </row>
        <row r="69">
          <cell r="C69" t="str">
            <v>070114</v>
          </cell>
          <cell r="D69" t="str">
            <v>7.1.14</v>
          </cell>
          <cell r="E69" t="str">
            <v>DISJUNTOR TERMOMAGNÉTICO MONOPOLAR 10A, PADRÃO</v>
          </cell>
          <cell r="F69" t="str">
            <v>DISJUNTOR MONOPOLAR 10A, PADRÃO DIN</v>
          </cell>
          <cell r="G69" t="str">
            <v>und</v>
          </cell>
          <cell r="H69" t="str">
            <v>02</v>
          </cell>
          <cell r="I69">
            <v>5</v>
          </cell>
          <cell r="J69">
            <v>5.84</v>
          </cell>
          <cell r="K69">
            <v>9</v>
          </cell>
          <cell r="L69">
            <v>0</v>
          </cell>
          <cell r="M69">
            <v>0</v>
          </cell>
        </row>
        <row r="70">
          <cell r="C70" t="str">
            <v>070115</v>
          </cell>
          <cell r="D70" t="str">
            <v>7.1.15</v>
          </cell>
          <cell r="E70" t="str">
            <v>DISJUNTOR TERMOMAGNÉTICO MONOPOLAR 20A, PADRÃO</v>
          </cell>
          <cell r="F70" t="str">
            <v>DISJUNTOR MONOPOLAR 20A, PADRÃO DIN</v>
          </cell>
          <cell r="G70" t="str">
            <v>und</v>
          </cell>
          <cell r="H70" t="str">
            <v>02</v>
          </cell>
          <cell r="I70">
            <v>5</v>
          </cell>
          <cell r="J70">
            <v>33</v>
          </cell>
          <cell r="K70">
            <v>9</v>
          </cell>
          <cell r="L70">
            <v>0</v>
          </cell>
          <cell r="M70">
            <v>0</v>
          </cell>
        </row>
        <row r="71">
          <cell r="C71" t="str">
            <v>070116</v>
          </cell>
          <cell r="D71" t="str">
            <v>7.1.16</v>
          </cell>
          <cell r="E71" t="str">
            <v>DISJUNTOR TERMOMAGNÉTICO MONOPOLAR 10A, PADRÃO DIN (LINHA-)</v>
          </cell>
          <cell r="F71" t="str">
            <v>DISJUNTOR MONOPOLAR 10A, PADRÃO DIN</v>
          </cell>
          <cell r="G71" t="str">
            <v>und</v>
          </cell>
          <cell r="H71" t="str">
            <v>02</v>
          </cell>
          <cell r="I71">
            <v>8</v>
          </cell>
          <cell r="J71">
            <v>33</v>
          </cell>
          <cell r="K71">
            <v>9</v>
          </cell>
          <cell r="L71">
            <v>0</v>
          </cell>
          <cell r="M71">
            <v>0</v>
          </cell>
        </row>
        <row r="72">
          <cell r="C72" t="str">
            <v>070117</v>
          </cell>
          <cell r="D72" t="str">
            <v>7.1.17</v>
          </cell>
          <cell r="E72" t="str">
            <v>DISJUNTOR TERMOMAGNÉTICO MONOPOLAR 25A, PADRÃO DIN (LINHA BRANCA)</v>
          </cell>
          <cell r="F72" t="str">
            <v>DISJUNTOR MONOPOLAR 25A, PADRÃO DIN</v>
          </cell>
          <cell r="G72" t="str">
            <v>und</v>
          </cell>
          <cell r="H72" t="str">
            <v>02</v>
          </cell>
          <cell r="I72">
            <v>2</v>
          </cell>
          <cell r="J72">
            <v>142.5</v>
          </cell>
          <cell r="K72">
            <v>9</v>
          </cell>
          <cell r="L72">
            <v>0</v>
          </cell>
          <cell r="M72">
            <v>0</v>
          </cell>
        </row>
        <row r="73">
          <cell r="C73" t="str">
            <v>070117</v>
          </cell>
          <cell r="D73" t="str">
            <v>7.1.17</v>
          </cell>
          <cell r="E73" t="str">
            <v>DISJUNTOR TERMOMAGNÉTICO MONOPOLAR 150A, PADRÃO DIN (LINHA BRANCA)</v>
          </cell>
          <cell r="F73" t="str">
            <v>DISJUNTOR MONOPOLAR 150A, PADRÃO DIN</v>
          </cell>
          <cell r="G73" t="str">
            <v>und</v>
          </cell>
          <cell r="H73" t="str">
            <v>02</v>
          </cell>
          <cell r="I73">
            <v>1</v>
          </cell>
          <cell r="J73">
            <v>460.24</v>
          </cell>
          <cell r="K73">
            <v>9</v>
          </cell>
          <cell r="L73">
            <v>0</v>
          </cell>
          <cell r="M73">
            <v>0</v>
          </cell>
        </row>
        <row r="74">
          <cell r="C74" t="str">
            <v>070118</v>
          </cell>
          <cell r="D74" t="str">
            <v>7.1.18</v>
          </cell>
          <cell r="E74" t="str">
            <v>DISPOSITIVO RESIDUAL DIFERENCIAL- DR 125A IN 30mA</v>
          </cell>
          <cell r="F74" t="str">
            <v>DISPOSITIVO DR 125A IN 30mA</v>
          </cell>
          <cell r="G74" t="str">
            <v>und</v>
          </cell>
          <cell r="H74" t="str">
            <v>02</v>
          </cell>
          <cell r="I74">
            <v>1</v>
          </cell>
          <cell r="J74">
            <v>162.71</v>
          </cell>
          <cell r="K74">
            <v>9</v>
          </cell>
          <cell r="L74">
            <v>0</v>
          </cell>
          <cell r="M74">
            <v>0</v>
          </cell>
        </row>
        <row r="75">
          <cell r="C75" t="str">
            <v>070119</v>
          </cell>
          <cell r="D75" t="str">
            <v>7.1.19</v>
          </cell>
          <cell r="E75" t="str">
            <v>CONDUTOR DE COBRE UNIPOLAR, ISOLAÇÃO EM PVC/70ºC, CAMADA DE PROTEÇÃO EM PVC, NÃO PROPAGADOR DE CHAMAS, CLASSE DE TENSÃO 750V, ENCORDOAMENTO CLASSE 5, FLEXÍVEL, COM SEÇÃO 2,5mm²</v>
          </cell>
          <cell r="F75" t="str">
            <v>CABO FLEXÍVEL DE COBRE 2,5mm²</v>
          </cell>
          <cell r="G75" t="str">
            <v>und</v>
          </cell>
          <cell r="H75" t="str">
            <v>06</v>
          </cell>
          <cell r="I75">
            <v>190</v>
          </cell>
          <cell r="J75">
            <v>1.31</v>
          </cell>
          <cell r="K75">
            <v>9</v>
          </cell>
          <cell r="L75">
            <v>0</v>
          </cell>
          <cell r="M75">
            <v>0</v>
          </cell>
        </row>
        <row r="76">
          <cell r="C76" t="str">
            <v>070120</v>
          </cell>
          <cell r="D76" t="str">
            <v>7.1.20</v>
          </cell>
          <cell r="E76" t="str">
            <v>CONDUTOR DE COBRE UNIPOLAR, ISOLAÇÃO EM PVC/70ºC, CAMADA DE PROTEÇÃO EM PVC, NÃO PROPAGADOR DE CHAMAS, CLASSE DE TENSÃO 750V, ENCORDOAMENTO CLASSE 5, FLEXÍVEL, COM SEÇÃO 4mm²</v>
          </cell>
          <cell r="F76" t="str">
            <v>CABO FLEXÍVEL DE COBRE 4mm²</v>
          </cell>
          <cell r="G76" t="str">
            <v>und</v>
          </cell>
          <cell r="H76" t="str">
            <v>06</v>
          </cell>
          <cell r="I76">
            <v>820</v>
          </cell>
          <cell r="J76">
            <v>2.0099999999999998</v>
          </cell>
          <cell r="K76">
            <v>9</v>
          </cell>
          <cell r="L76">
            <v>0</v>
          </cell>
          <cell r="M76">
            <v>0</v>
          </cell>
        </row>
        <row r="77">
          <cell r="C77" t="str">
            <v>070121</v>
          </cell>
          <cell r="D77" t="str">
            <v>7.1.21</v>
          </cell>
          <cell r="E77" t="str">
            <v>CONDUTOR DE COBRE UNIPOLAR, ISOLAÇÃO EM PVC/70ºC, CAMADA DE PROTEÇÃO EM PVC, NÃO PROPAGADOR DE CHAMAS, CLASSE DE TENSÃO 750V, ENCORDOAMENTO CLASSE 5, FLEXÍVEL, COM SEÇÃO 16mm²</v>
          </cell>
          <cell r="F77" t="str">
            <v>CABO FLEXÍVEL DE COBRE 16mm²</v>
          </cell>
          <cell r="G77" t="str">
            <v>und</v>
          </cell>
          <cell r="H77" t="str">
            <v>06</v>
          </cell>
          <cell r="I77">
            <v>14</v>
          </cell>
          <cell r="J77">
            <v>5.21</v>
          </cell>
          <cell r="K77">
            <v>9</v>
          </cell>
          <cell r="L77">
            <v>0</v>
          </cell>
          <cell r="M77">
            <v>0</v>
          </cell>
        </row>
        <row r="78">
          <cell r="C78" t="str">
            <v>070122</v>
          </cell>
          <cell r="D78" t="str">
            <v>7.1.22</v>
          </cell>
          <cell r="E78" t="str">
            <v>CONDUTOR DE COBRE UNIPOLAR, ISOLAÇÃO EM PVC/90ºC, CAMADA DE PROTEÇÃO EM PVC, NÃO PROPAGADOR DE CHAMAS, CLASSE DE TENSÃO 1000V, ENCORDOAMENTO CLASSE 5, FLEXÍVEL, COM SEÇÃO 35mm²</v>
          </cell>
          <cell r="F78" t="str">
            <v>CABO FLEXÍVEL DE COBRE 35mm²</v>
          </cell>
          <cell r="G78" t="str">
            <v>und</v>
          </cell>
          <cell r="H78" t="str">
            <v>06</v>
          </cell>
          <cell r="I78">
            <v>41</v>
          </cell>
          <cell r="J78">
            <v>7.74</v>
          </cell>
          <cell r="K78">
            <v>9</v>
          </cell>
          <cell r="L78">
            <v>0</v>
          </cell>
          <cell r="M78">
            <v>0</v>
          </cell>
        </row>
        <row r="79">
          <cell r="C79" t="str">
            <v>070123</v>
          </cell>
          <cell r="D79" t="str">
            <v>7.1.23</v>
          </cell>
          <cell r="E79" t="str">
            <v>LUMINÁRIA CALHA SOBREPOR P/ LÂMPADA FLUORESCENTE 2X40W, COMPLETA, INCL. REATOR ELETRÔNICO E LÂMPADAS</v>
          </cell>
          <cell r="F79" t="str">
            <v>LUMIN. SOBREPOR LÂMP. FLUOR. 2X40W</v>
          </cell>
          <cell r="G79" t="str">
            <v>und</v>
          </cell>
          <cell r="H79" t="str">
            <v>03</v>
          </cell>
          <cell r="I79">
            <v>6</v>
          </cell>
          <cell r="J79">
            <v>46.21</v>
          </cell>
          <cell r="K79">
            <v>9</v>
          </cell>
          <cell r="L79">
            <v>0</v>
          </cell>
          <cell r="M79">
            <v>0</v>
          </cell>
        </row>
        <row r="80">
          <cell r="C80" t="str">
            <v>070124</v>
          </cell>
          <cell r="D80" t="str">
            <v>7.1.24</v>
          </cell>
          <cell r="E80" t="str">
            <v>LUMINÁRIA CALHA SOBREPOR P/ LÂMPADA FLUORESCENTE 1X40W, COMPLETA, INCL. REATOR ELETRÔNICO E LÂMPADAS</v>
          </cell>
          <cell r="F80" t="str">
            <v>LUMIN. SOBREPOR LÂMP. FLUOR. 1X40W</v>
          </cell>
          <cell r="G80" t="str">
            <v>und</v>
          </cell>
          <cell r="H80" t="str">
            <v>03</v>
          </cell>
          <cell r="I80">
            <v>1</v>
          </cell>
          <cell r="J80">
            <v>32.799999999999997</v>
          </cell>
          <cell r="K80">
            <v>9</v>
          </cell>
          <cell r="L80">
            <v>0</v>
          </cell>
          <cell r="M80">
            <v>0</v>
          </cell>
        </row>
        <row r="81">
          <cell r="C81" t="str">
            <v>070125</v>
          </cell>
          <cell r="D81" t="str">
            <v>7.1.25</v>
          </cell>
          <cell r="E81" t="str">
            <v>LUMINÁRIA BLINDADA P/ ALTA PRESSÃO, LINHA INDUSTRIAL , PROJETOR HERMÉTICO PARA LÂMPADA DE LUZ MISTA DE 500W, COM PROTEÇÃO DA LÂMPADA</v>
          </cell>
          <cell r="F81" t="str">
            <v>LUMIN. BLINDADA P/ LÂMP. DE 500W</v>
          </cell>
          <cell r="G81" t="str">
            <v>und</v>
          </cell>
          <cell r="H81" t="str">
            <v>04</v>
          </cell>
          <cell r="I81">
            <v>15</v>
          </cell>
          <cell r="J81">
            <v>108.73</v>
          </cell>
          <cell r="K81">
            <v>9</v>
          </cell>
          <cell r="L81">
            <v>0</v>
          </cell>
          <cell r="M81">
            <v>0</v>
          </cell>
        </row>
        <row r="82">
          <cell r="C82" t="str">
            <v>070126</v>
          </cell>
          <cell r="D82" t="str">
            <v>7.1.26</v>
          </cell>
          <cell r="E82" t="str">
            <v>QUADRO DISTRIBUIÇÃO DE EMBUTIR, COM BARRAMENTO, EM CHAPA DE AÇO, PARA 4 DISJUNTORES UNIPOLARES+ 8 BIPOLARES+ 1 TRIPOLAR + 1 PADRÃO EUROPEU (LINHA BRANCA), EXCLUSIVE DISJUNTORES</v>
          </cell>
          <cell r="F82" t="str">
            <v xml:space="preserve">QD. DIST. EMBUTIR C/ BARR., P/ 28 CIRC. </v>
          </cell>
          <cell r="G82" t="str">
            <v>und</v>
          </cell>
          <cell r="H82" t="str">
            <v>06</v>
          </cell>
          <cell r="I82">
            <v>1</v>
          </cell>
          <cell r="J82">
            <v>154.38999999999999</v>
          </cell>
          <cell r="K82">
            <v>9</v>
          </cell>
          <cell r="L82">
            <v>0</v>
          </cell>
          <cell r="M82">
            <v>0</v>
          </cell>
        </row>
        <row r="83">
          <cell r="C83" t="str">
            <v>070127</v>
          </cell>
          <cell r="D83" t="str">
            <v>7.1.27</v>
          </cell>
          <cell r="E83" t="str">
            <v>QUADRO DISTRIBUIÇÃO DE EMBUTIR, COM BARRAMENTO, EM CHAPA DE AÇO, PARA 1 DISJUNTORES UNIPOLAR+ 5 BIPOLARES+ 2 TRIPOLARES, 1 PADRÃO EUROPEU (LINHA BRANCA), EXCLUSIVE DISJUNTORES</v>
          </cell>
          <cell r="F83" t="str">
            <v xml:space="preserve">QD. DIST. EMBUTIR C/ BARR., P/ 28 CIRC. </v>
          </cell>
          <cell r="G83" t="str">
            <v>und</v>
          </cell>
          <cell r="H83" t="str">
            <v>06</v>
          </cell>
          <cell r="I83">
            <v>1</v>
          </cell>
          <cell r="J83">
            <v>46.28</v>
          </cell>
          <cell r="K83">
            <v>9</v>
          </cell>
          <cell r="L83">
            <v>0</v>
          </cell>
          <cell r="M83">
            <v>0</v>
          </cell>
        </row>
        <row r="84">
          <cell r="C84" t="str">
            <v>070128</v>
          </cell>
          <cell r="D84" t="str">
            <v>7.1.28</v>
          </cell>
          <cell r="E84" t="str">
            <v>CAIXA DE PVC 4X2", INCLUSIVE ESPELHO</v>
          </cell>
          <cell r="F84" t="str">
            <v>CAIXA DE PVC 4X2", INCLUSIVE ESPELHO</v>
          </cell>
          <cell r="G84" t="str">
            <v>und</v>
          </cell>
          <cell r="H84" t="str">
            <v>01</v>
          </cell>
          <cell r="I84">
            <v>16</v>
          </cell>
          <cell r="J84">
            <v>1.6</v>
          </cell>
          <cell r="K84">
            <v>9</v>
          </cell>
          <cell r="L84">
            <v>0</v>
          </cell>
          <cell r="M84">
            <v>0</v>
          </cell>
        </row>
        <row r="85">
          <cell r="C85" t="str">
            <v>070129</v>
          </cell>
          <cell r="D85" t="str">
            <v>7.1.29</v>
          </cell>
          <cell r="E85" t="str">
            <v>CAIXA PVC OCTOGONAL 4X4</v>
          </cell>
          <cell r="F85" t="str">
            <v>CAIXA PVC OCTOGONAL 4X4</v>
          </cell>
          <cell r="G85" t="str">
            <v>und</v>
          </cell>
          <cell r="H85" t="str">
            <v>01</v>
          </cell>
          <cell r="I85">
            <v>7</v>
          </cell>
          <cell r="J85">
            <v>2.97</v>
          </cell>
          <cell r="K85">
            <v>9</v>
          </cell>
          <cell r="L85">
            <v>0</v>
          </cell>
          <cell r="M85">
            <v>0</v>
          </cell>
        </row>
        <row r="86">
          <cell r="C86" t="str">
            <v>0702</v>
          </cell>
          <cell r="D86" t="str">
            <v>7.2</v>
          </cell>
          <cell r="E86" t="str">
            <v>INSTALAÇÕES HIDROSSANITÁRIAS</v>
          </cell>
          <cell r="F86" t="str">
            <v>INSTALAÇÕES HIDROSSANITÁRIAS</v>
          </cell>
          <cell r="G86">
            <v>0</v>
          </cell>
          <cell r="H86" t="str">
            <v>01</v>
          </cell>
          <cell r="I86">
            <v>0</v>
          </cell>
          <cell r="J86">
            <v>0</v>
          </cell>
          <cell r="K86">
            <v>9</v>
          </cell>
          <cell r="L86" t="str">
            <v>T</v>
          </cell>
          <cell r="M86">
            <v>0</v>
          </cell>
        </row>
        <row r="87">
          <cell r="C87" t="str">
            <v>070201</v>
          </cell>
          <cell r="D87" t="str">
            <v>7.2.1</v>
          </cell>
          <cell r="E87" t="str">
            <v>CAIXA DE INSPEÇÃO DE ESGOTO SIFONADA 60X60cm</v>
          </cell>
          <cell r="F87" t="str">
            <v>CX. INSPEÇÃO ESG. SIFONADA 60X60cm</v>
          </cell>
          <cell r="G87" t="str">
            <v>und</v>
          </cell>
          <cell r="H87" t="str">
            <v>02</v>
          </cell>
          <cell r="I87">
            <v>4</v>
          </cell>
          <cell r="J87">
            <v>57.52</v>
          </cell>
          <cell r="K87">
            <v>9</v>
          </cell>
          <cell r="L87">
            <v>0</v>
          </cell>
          <cell r="M87">
            <v>0</v>
          </cell>
        </row>
        <row r="88">
          <cell r="C88" t="str">
            <v>070202</v>
          </cell>
          <cell r="D88" t="str">
            <v>7.2.2</v>
          </cell>
          <cell r="E88" t="str">
            <v>CAIXA SIFONADA (100X100X50mm)</v>
          </cell>
          <cell r="F88" t="str">
            <v>CAIXA SIFONADA (100X100X50mm)</v>
          </cell>
          <cell r="G88" t="str">
            <v>und</v>
          </cell>
          <cell r="H88" t="str">
            <v>01</v>
          </cell>
          <cell r="I88">
            <v>6</v>
          </cell>
          <cell r="J88">
            <v>16.46</v>
          </cell>
          <cell r="K88">
            <v>9</v>
          </cell>
          <cell r="L88">
            <v>0</v>
          </cell>
          <cell r="M88">
            <v>0</v>
          </cell>
        </row>
        <row r="89">
          <cell r="C89" t="str">
            <v>070203</v>
          </cell>
          <cell r="D89" t="str">
            <v>7.2.3</v>
          </cell>
          <cell r="E89" t="str">
            <v xml:space="preserve">CAIXA SIFONADA (150X50X50mm) </v>
          </cell>
          <cell r="F89" t="str">
            <v>CAIXA SIFONADA (150X150X50mm)</v>
          </cell>
          <cell r="G89" t="str">
            <v>und</v>
          </cell>
          <cell r="H89" t="str">
            <v>01</v>
          </cell>
          <cell r="I89">
            <v>4</v>
          </cell>
          <cell r="J89">
            <v>16.71</v>
          </cell>
          <cell r="K89">
            <v>9</v>
          </cell>
          <cell r="L89">
            <v>0</v>
          </cell>
          <cell r="M89">
            <v>0</v>
          </cell>
        </row>
        <row r="90">
          <cell r="C90" t="str">
            <v>070204</v>
          </cell>
          <cell r="D90" t="str">
            <v>7.2.4</v>
          </cell>
          <cell r="E90" t="str">
            <v>REGISTRO DE GAVETA COM CANOPLA CROMADA (1")</v>
          </cell>
          <cell r="F90" t="str">
            <v>REG. GAV. COM CANOPLA CROMADA (1")</v>
          </cell>
          <cell r="G90" t="str">
            <v>und</v>
          </cell>
          <cell r="H90" t="str">
            <v>02</v>
          </cell>
          <cell r="I90">
            <v>2</v>
          </cell>
          <cell r="J90">
            <v>42.81</v>
          </cell>
          <cell r="K90">
            <v>9</v>
          </cell>
          <cell r="L90">
            <v>0</v>
          </cell>
          <cell r="M90">
            <v>0</v>
          </cell>
        </row>
        <row r="91">
          <cell r="C91" t="str">
            <v>070205</v>
          </cell>
          <cell r="D91" t="str">
            <v>7.2.5</v>
          </cell>
          <cell r="E91" t="str">
            <v>REGISTRO DE GAVETA COM CANOPLA CROMADA (1 1/2")</v>
          </cell>
          <cell r="F91" t="str">
            <v>REG. GAV. COM CANOPLA CROMADA (1 1/2")</v>
          </cell>
          <cell r="G91" t="str">
            <v>und</v>
          </cell>
          <cell r="H91" t="str">
            <v>02</v>
          </cell>
          <cell r="I91">
            <v>2</v>
          </cell>
          <cell r="J91">
            <v>69.430000000000007</v>
          </cell>
          <cell r="K91">
            <v>9</v>
          </cell>
          <cell r="L91">
            <v>0</v>
          </cell>
          <cell r="M91">
            <v>0</v>
          </cell>
        </row>
        <row r="92">
          <cell r="C92" t="str">
            <v>070206</v>
          </cell>
          <cell r="D92" t="str">
            <v>7.2.6</v>
          </cell>
          <cell r="E92" t="str">
            <v>REGISTRO DE GAVETA COM CANOPLA CROMADA ( 1/2")</v>
          </cell>
          <cell r="F92" t="str">
            <v>REG. GAV. COM CANOPLA CROMADA ( 1/2")</v>
          </cell>
          <cell r="G92" t="str">
            <v>und</v>
          </cell>
          <cell r="H92" t="str">
            <v>02</v>
          </cell>
          <cell r="I92">
            <v>2</v>
          </cell>
          <cell r="J92">
            <v>36.22</v>
          </cell>
          <cell r="K92">
            <v>9</v>
          </cell>
          <cell r="L92">
            <v>0</v>
          </cell>
          <cell r="M92">
            <v>0</v>
          </cell>
        </row>
        <row r="93">
          <cell r="C93" t="str">
            <v>070207</v>
          </cell>
          <cell r="D93" t="str">
            <v>7.2.7</v>
          </cell>
          <cell r="E93" t="str">
            <v>REGISTRO DE GAVETA COM CANOPLA CROMADA (3/4")</v>
          </cell>
          <cell r="F93" t="str">
            <v>REG. GAV. COM CANOPLA CROMADA (3/4")</v>
          </cell>
          <cell r="G93" t="str">
            <v>und</v>
          </cell>
          <cell r="H93" t="str">
            <v>02</v>
          </cell>
          <cell r="I93">
            <v>2</v>
          </cell>
          <cell r="J93">
            <v>36.799999999999997</v>
          </cell>
          <cell r="K93">
            <v>9</v>
          </cell>
          <cell r="L93">
            <v>0</v>
          </cell>
          <cell r="M93">
            <v>0</v>
          </cell>
        </row>
        <row r="94">
          <cell r="C94" t="str">
            <v>070208</v>
          </cell>
          <cell r="D94" t="str">
            <v>7.2.8</v>
          </cell>
          <cell r="E94" t="str">
            <v>REGISTRO DE PRESSÃO COM CANOPLA CROMADA (3/4")</v>
          </cell>
          <cell r="F94" t="str">
            <v>REG. PRES. COM CANOPLA CROMADA (3/4")</v>
          </cell>
          <cell r="G94" t="str">
            <v>und</v>
          </cell>
          <cell r="H94" t="str">
            <v>02</v>
          </cell>
          <cell r="I94">
            <v>8</v>
          </cell>
          <cell r="J94">
            <v>36.909999999999997</v>
          </cell>
          <cell r="K94">
            <v>9</v>
          </cell>
          <cell r="L94">
            <v>0</v>
          </cell>
          <cell r="M94">
            <v>0</v>
          </cell>
        </row>
        <row r="95">
          <cell r="C95" t="str">
            <v>070209</v>
          </cell>
          <cell r="D95" t="str">
            <v>7.2.9</v>
          </cell>
          <cell r="E95" t="str">
            <v>FOSSA SÉPTICA, EM CONCRETO ARMADO, (D=2,50 X H=12,0m)</v>
          </cell>
          <cell r="F95" t="str">
            <v>FOSSA SÉPTICA (D=2,50 X H=12,0m)</v>
          </cell>
          <cell r="G95" t="str">
            <v>und</v>
          </cell>
          <cell r="H95" t="str">
            <v>02</v>
          </cell>
          <cell r="I95">
            <v>1</v>
          </cell>
          <cell r="J95">
            <v>1900.84</v>
          </cell>
          <cell r="K95">
            <v>9</v>
          </cell>
          <cell r="L95">
            <v>0</v>
          </cell>
          <cell r="M95">
            <v>0</v>
          </cell>
        </row>
        <row r="96">
          <cell r="C96" t="str">
            <v>070210</v>
          </cell>
          <cell r="D96" t="str">
            <v>7.2.10</v>
          </cell>
          <cell r="E96" t="str">
            <v>SUMIDOURO EM ALVENARIA (D=2,30 X H=6,00m)</v>
          </cell>
          <cell r="F96" t="str">
            <v>SUMIDOURO (D=2,30 X H=6,00m)</v>
          </cell>
          <cell r="G96" t="str">
            <v>und</v>
          </cell>
          <cell r="H96" t="str">
            <v>01</v>
          </cell>
          <cell r="I96">
            <v>1</v>
          </cell>
          <cell r="J96">
            <v>1133.67</v>
          </cell>
          <cell r="K96">
            <v>9</v>
          </cell>
          <cell r="L96">
            <v>0</v>
          </cell>
          <cell r="M96">
            <v>0</v>
          </cell>
        </row>
        <row r="97">
          <cell r="C97" t="str">
            <v>070211</v>
          </cell>
          <cell r="D97" t="str">
            <v>7.2.11</v>
          </cell>
          <cell r="E97" t="str">
            <v>TUBO PVC RÍGIDO SOLDÁVEL- 20mm</v>
          </cell>
          <cell r="F97" t="str">
            <v>TUBO PVC RÍGIDO SOLDÁVEL- 20mm</v>
          </cell>
          <cell r="G97" t="str">
            <v>m</v>
          </cell>
          <cell r="H97" t="str">
            <v>01</v>
          </cell>
          <cell r="I97">
            <v>27</v>
          </cell>
          <cell r="J97">
            <v>2.15</v>
          </cell>
          <cell r="K97">
            <v>9</v>
          </cell>
          <cell r="L97">
            <v>0</v>
          </cell>
          <cell r="M97">
            <v>0</v>
          </cell>
        </row>
        <row r="98">
          <cell r="C98" t="str">
            <v>070212</v>
          </cell>
          <cell r="D98" t="str">
            <v>7.2.12</v>
          </cell>
          <cell r="E98" t="str">
            <v>TUBO PVC RÍGIDO SOLDÁVEL- 25mm</v>
          </cell>
          <cell r="F98" t="str">
            <v>TUBO PVC RÍGIDO SOLDÁVEL- 25mm</v>
          </cell>
          <cell r="G98" t="str">
            <v>m</v>
          </cell>
          <cell r="H98" t="str">
            <v>01</v>
          </cell>
          <cell r="I98">
            <v>38</v>
          </cell>
          <cell r="J98">
            <v>2.76</v>
          </cell>
          <cell r="K98">
            <v>9</v>
          </cell>
          <cell r="L98">
            <v>0</v>
          </cell>
          <cell r="M98">
            <v>0</v>
          </cell>
        </row>
        <row r="99">
          <cell r="C99" t="str">
            <v>070213</v>
          </cell>
          <cell r="D99" t="str">
            <v>7.2.13</v>
          </cell>
          <cell r="E99" t="str">
            <v>TUBO PVC RÍGIDO SOLDÁVEL- 32mm</v>
          </cell>
          <cell r="F99" t="str">
            <v>TUBO PVC RÍGIDO SOLDÁVEL- 32mm</v>
          </cell>
          <cell r="G99" t="str">
            <v>m</v>
          </cell>
          <cell r="H99" t="str">
            <v>01</v>
          </cell>
          <cell r="I99">
            <v>28</v>
          </cell>
          <cell r="J99">
            <v>4.92</v>
          </cell>
          <cell r="K99">
            <v>9</v>
          </cell>
          <cell r="L99">
            <v>0</v>
          </cell>
          <cell r="M99">
            <v>0</v>
          </cell>
        </row>
        <row r="100">
          <cell r="C100" t="str">
            <v>070214</v>
          </cell>
          <cell r="D100" t="str">
            <v>7.2.14</v>
          </cell>
          <cell r="E100" t="str">
            <v>TUBO PVC RÍGIDO SOLDÁVEL- 40mm</v>
          </cell>
          <cell r="F100" t="str">
            <v>TUBO PVC RÍGIDO SOLDÁVEL- 40mm</v>
          </cell>
          <cell r="G100" t="str">
            <v>m</v>
          </cell>
          <cell r="H100" t="str">
            <v>01</v>
          </cell>
          <cell r="I100">
            <v>14</v>
          </cell>
          <cell r="J100">
            <v>6.91</v>
          </cell>
          <cell r="K100">
            <v>9</v>
          </cell>
          <cell r="L100">
            <v>0</v>
          </cell>
          <cell r="M100">
            <v>0</v>
          </cell>
        </row>
        <row r="101">
          <cell r="C101" t="str">
            <v>070215</v>
          </cell>
          <cell r="D101" t="str">
            <v>7.2.15</v>
          </cell>
          <cell r="E101" t="str">
            <v>TUBO PVC RÍGIDO SOLDÁVEL- 50mm</v>
          </cell>
          <cell r="F101" t="str">
            <v>TUBO PVC RÍGIDO SOLDÁVEL- 50mm</v>
          </cell>
          <cell r="G101" t="str">
            <v>m</v>
          </cell>
          <cell r="H101" t="str">
            <v>01</v>
          </cell>
          <cell r="I101">
            <v>36</v>
          </cell>
          <cell r="J101">
            <v>8.17</v>
          </cell>
          <cell r="K101">
            <v>9</v>
          </cell>
          <cell r="L101">
            <v>0</v>
          </cell>
          <cell r="M101">
            <v>0</v>
          </cell>
        </row>
        <row r="102">
          <cell r="C102" t="str">
            <v>070216</v>
          </cell>
          <cell r="D102" t="str">
            <v>7.2.16</v>
          </cell>
          <cell r="E102" t="str">
            <v>UNIÃO SOLDÁVEL-20mm</v>
          </cell>
          <cell r="F102" t="str">
            <v>UNIÃO SOLDÁVEL-20mm</v>
          </cell>
          <cell r="G102" t="str">
            <v>m</v>
          </cell>
          <cell r="H102" t="str">
            <v>01</v>
          </cell>
          <cell r="I102">
            <v>6</v>
          </cell>
          <cell r="J102">
            <v>11.2</v>
          </cell>
          <cell r="K102">
            <v>9</v>
          </cell>
          <cell r="L102">
            <v>0</v>
          </cell>
          <cell r="M102">
            <v>0</v>
          </cell>
        </row>
        <row r="103">
          <cell r="C103" t="str">
            <v>070217</v>
          </cell>
          <cell r="D103" t="str">
            <v>7.2.17</v>
          </cell>
          <cell r="E103" t="str">
            <v>UNIÃO SOLDÁVEL-50mm</v>
          </cell>
          <cell r="F103" t="str">
            <v>UNIÃO SOLDÁVEL-50mm</v>
          </cell>
          <cell r="G103" t="str">
            <v>m</v>
          </cell>
          <cell r="H103" t="str">
            <v>01</v>
          </cell>
          <cell r="I103">
            <v>2</v>
          </cell>
          <cell r="J103">
            <v>26.29</v>
          </cell>
          <cell r="K103">
            <v>9</v>
          </cell>
          <cell r="L103">
            <v>0</v>
          </cell>
          <cell r="M103">
            <v>0</v>
          </cell>
        </row>
        <row r="104">
          <cell r="C104" t="str">
            <v>070218</v>
          </cell>
          <cell r="D104" t="str">
            <v>7.2.18</v>
          </cell>
          <cell r="E104" t="str">
            <v>ADAPTADOR SOLDÁVEL CURTO COM BOLSA-ROSCA PARA REGISTRO 20mm- 1/2"</v>
          </cell>
          <cell r="F104" t="str">
            <v>ADAPTADOR SOLDÁVEL 20mm x 1/2"</v>
          </cell>
          <cell r="G104" t="str">
            <v>m</v>
          </cell>
          <cell r="H104" t="str">
            <v>02</v>
          </cell>
          <cell r="I104">
            <v>4</v>
          </cell>
          <cell r="J104">
            <v>2.2000000000000002</v>
          </cell>
          <cell r="K104">
            <v>9</v>
          </cell>
          <cell r="L104">
            <v>0</v>
          </cell>
          <cell r="M104">
            <v>0</v>
          </cell>
        </row>
        <row r="105">
          <cell r="C105" t="str">
            <v>070219</v>
          </cell>
          <cell r="D105" t="str">
            <v>7.2.19</v>
          </cell>
          <cell r="E105" t="str">
            <v>ADAPTADOR SOLDÁVEL CURTO COM BOLSA-ROSCA PARA REGISTRO 25mm- 3/4"</v>
          </cell>
          <cell r="F105" t="str">
            <v>ADAPTADOR SOLDÁVEL 25mm x 3/4"</v>
          </cell>
          <cell r="G105" t="str">
            <v>m</v>
          </cell>
          <cell r="H105" t="str">
            <v>02</v>
          </cell>
          <cell r="I105">
            <v>12</v>
          </cell>
          <cell r="J105">
            <v>2.31</v>
          </cell>
          <cell r="K105">
            <v>9</v>
          </cell>
          <cell r="L105">
            <v>0</v>
          </cell>
          <cell r="M105">
            <v>0</v>
          </cell>
        </row>
        <row r="106">
          <cell r="C106" t="str">
            <v>070220</v>
          </cell>
          <cell r="D106" t="str">
            <v>7.2.20</v>
          </cell>
          <cell r="E106" t="str">
            <v>ADAPTADOR SOLDÁVEL CURTO COM BOLSA-ROSCA PARA REGISTRO 32mm- 1"</v>
          </cell>
          <cell r="F106" t="str">
            <v>ADAPTADOR SOLDÁVEL 32mm x 1"</v>
          </cell>
          <cell r="G106" t="str">
            <v>m</v>
          </cell>
          <cell r="H106" t="str">
            <v>02</v>
          </cell>
          <cell r="I106">
            <v>4</v>
          </cell>
          <cell r="J106">
            <v>2.81</v>
          </cell>
          <cell r="K106">
            <v>9</v>
          </cell>
          <cell r="L106">
            <v>0</v>
          </cell>
          <cell r="M106">
            <v>0</v>
          </cell>
        </row>
        <row r="107">
          <cell r="C107" t="str">
            <v>070221</v>
          </cell>
          <cell r="D107" t="str">
            <v>7.2.21</v>
          </cell>
          <cell r="E107" t="str">
            <v>ADAPTADOR SOLDÁVEL CURTO COM BOLSA-ROSCA PARA REGISTRO 50mm- 1 1/2"</v>
          </cell>
          <cell r="F107" t="str">
            <v>ADAPTADOR SOLDÁVEL 50mm x 1 1/2"</v>
          </cell>
          <cell r="G107" t="str">
            <v>m</v>
          </cell>
          <cell r="H107" t="str">
            <v>02</v>
          </cell>
          <cell r="I107">
            <v>4</v>
          </cell>
          <cell r="J107">
            <v>5.35</v>
          </cell>
          <cell r="K107">
            <v>9</v>
          </cell>
          <cell r="L107">
            <v>0</v>
          </cell>
          <cell r="M107">
            <v>0</v>
          </cell>
        </row>
        <row r="108">
          <cell r="C108" t="str">
            <v>070222</v>
          </cell>
          <cell r="D108" t="str">
            <v>7.2.22</v>
          </cell>
          <cell r="E108" t="str">
            <v>BUCHA DE REDUÇÃO SOLDÁVEL CURTA 50mm- 40mm</v>
          </cell>
          <cell r="F108" t="str">
            <v>BUCHA RED. SOLD. CURTA 50mm x 40mm</v>
          </cell>
          <cell r="G108" t="str">
            <v>m</v>
          </cell>
          <cell r="H108" t="str">
            <v>02</v>
          </cell>
          <cell r="I108">
            <v>2</v>
          </cell>
          <cell r="J108">
            <v>5.91</v>
          </cell>
          <cell r="K108">
            <v>9</v>
          </cell>
          <cell r="L108">
            <v>0</v>
          </cell>
          <cell r="M108">
            <v>0</v>
          </cell>
        </row>
        <row r="109">
          <cell r="C109" t="str">
            <v>070223</v>
          </cell>
          <cell r="D109" t="str">
            <v>7.2.23</v>
          </cell>
          <cell r="E109" t="str">
            <v>BUCHA DE REDUÇÃO SOLDÁVEL LONGA 50mm- 40mm</v>
          </cell>
          <cell r="F109" t="str">
            <v>BUCHA RED. SOLD. LONGA 50mm x 40mm</v>
          </cell>
          <cell r="G109" t="str">
            <v>m</v>
          </cell>
          <cell r="H109" t="str">
            <v>02</v>
          </cell>
          <cell r="I109">
            <v>2</v>
          </cell>
          <cell r="J109">
            <v>2.87</v>
          </cell>
          <cell r="K109">
            <v>9</v>
          </cell>
          <cell r="L109">
            <v>0</v>
          </cell>
          <cell r="M109">
            <v>0</v>
          </cell>
        </row>
        <row r="110">
          <cell r="C110" t="str">
            <v>070224</v>
          </cell>
          <cell r="D110" t="str">
            <v>7.2.24</v>
          </cell>
          <cell r="E110" t="str">
            <v>CAIXA DÁGUA EM FIBRA DE VIDRO- CAP. 3000L</v>
          </cell>
          <cell r="F110" t="str">
            <v>CX DÁGUA EM FIBRA DE VIDRO- 3000L</v>
          </cell>
          <cell r="G110" t="str">
            <v>m</v>
          </cell>
          <cell r="H110" t="str">
            <v>01</v>
          </cell>
          <cell r="I110">
            <v>1</v>
          </cell>
          <cell r="J110">
            <v>625.96</v>
          </cell>
          <cell r="K110">
            <v>9</v>
          </cell>
          <cell r="L110">
            <v>0</v>
          </cell>
          <cell r="M110">
            <v>0</v>
          </cell>
        </row>
        <row r="111">
          <cell r="C111" t="str">
            <v>070225</v>
          </cell>
          <cell r="D111" t="str">
            <v>7.2.25</v>
          </cell>
          <cell r="E111" t="str">
            <v>ENGATE FLEXÍVEL PLÁSTICO</v>
          </cell>
          <cell r="F111" t="str">
            <v>ENGATE FLEXÍVEL PLÁSTICO</v>
          </cell>
          <cell r="G111" t="str">
            <v>m</v>
          </cell>
          <cell r="H111" t="str">
            <v>01</v>
          </cell>
          <cell r="I111">
            <v>10</v>
          </cell>
          <cell r="J111">
            <v>4.9400000000000004</v>
          </cell>
          <cell r="K111">
            <v>9</v>
          </cell>
          <cell r="L111">
            <v>0</v>
          </cell>
          <cell r="M111">
            <v>0</v>
          </cell>
        </row>
        <row r="112">
          <cell r="C112" t="str">
            <v>070226</v>
          </cell>
          <cell r="D112" t="str">
            <v>7.2.26</v>
          </cell>
          <cell r="E112" t="str">
            <v>FLANGE PARA CAIXA DÁGUA 25mm</v>
          </cell>
          <cell r="F112" t="str">
            <v>FLANGE PARA CAIXA DÁGUA 25mm</v>
          </cell>
          <cell r="G112" t="str">
            <v>m</v>
          </cell>
          <cell r="H112" t="str">
            <v>01</v>
          </cell>
          <cell r="I112">
            <v>3</v>
          </cell>
          <cell r="J112">
            <v>7.74</v>
          </cell>
          <cell r="K112">
            <v>9</v>
          </cell>
          <cell r="L112">
            <v>0</v>
          </cell>
          <cell r="M112">
            <v>0</v>
          </cell>
        </row>
        <row r="113">
          <cell r="C113" t="str">
            <v>070227</v>
          </cell>
          <cell r="D113" t="str">
            <v>7.2.27</v>
          </cell>
          <cell r="E113" t="str">
            <v>FLANGE PARA CAIXA DÁGUA 50mm</v>
          </cell>
          <cell r="F113" t="str">
            <v>FLANGE PARA CAIXA DÁGUA 50mm</v>
          </cell>
          <cell r="G113" t="str">
            <v>m</v>
          </cell>
          <cell r="H113" t="str">
            <v>01</v>
          </cell>
          <cell r="I113">
            <v>2</v>
          </cell>
          <cell r="J113">
            <v>21.26</v>
          </cell>
          <cell r="K113">
            <v>9</v>
          </cell>
          <cell r="L113">
            <v>0</v>
          </cell>
          <cell r="M113">
            <v>0</v>
          </cell>
        </row>
        <row r="114">
          <cell r="C114" t="str">
            <v>070228</v>
          </cell>
          <cell r="D114" t="str">
            <v>7.2.28</v>
          </cell>
          <cell r="E114" t="str">
            <v>JOELHO 90º SOLDÁVEL 25mm</v>
          </cell>
          <cell r="F114" t="str">
            <v>JOELHO 90º SOLD. 25mm</v>
          </cell>
          <cell r="G114" t="str">
            <v>m</v>
          </cell>
          <cell r="H114" t="str">
            <v>01</v>
          </cell>
          <cell r="I114">
            <v>11</v>
          </cell>
          <cell r="J114">
            <v>2.15</v>
          </cell>
          <cell r="K114">
            <v>9</v>
          </cell>
          <cell r="L114">
            <v>0</v>
          </cell>
          <cell r="M114">
            <v>0</v>
          </cell>
        </row>
        <row r="115">
          <cell r="C115" t="str">
            <v>070229</v>
          </cell>
          <cell r="D115" t="str">
            <v>7.2.29</v>
          </cell>
          <cell r="E115" t="str">
            <v>JOELHO 90º SOLDÁVEL 32mm</v>
          </cell>
          <cell r="F115" t="str">
            <v>JOELHO 90º SOLD. 32mm</v>
          </cell>
          <cell r="G115" t="str">
            <v>m</v>
          </cell>
          <cell r="H115" t="str">
            <v>01</v>
          </cell>
          <cell r="I115">
            <v>6</v>
          </cell>
          <cell r="J115">
            <v>2.58</v>
          </cell>
          <cell r="K115">
            <v>9</v>
          </cell>
          <cell r="L115">
            <v>0</v>
          </cell>
          <cell r="M115">
            <v>0</v>
          </cell>
        </row>
        <row r="116">
          <cell r="C116" t="str">
            <v>070230</v>
          </cell>
          <cell r="D116" t="str">
            <v>7.2.30</v>
          </cell>
          <cell r="E116" t="str">
            <v>JOELHO 90º SOLDÁVEL 50mm</v>
          </cell>
          <cell r="F116" t="str">
            <v>JOELHO 90º SOLD. 50mm</v>
          </cell>
          <cell r="G116" t="str">
            <v>m</v>
          </cell>
          <cell r="H116" t="str">
            <v>01</v>
          </cell>
          <cell r="I116">
            <v>8</v>
          </cell>
          <cell r="J116">
            <v>4.47</v>
          </cell>
          <cell r="K116">
            <v>9</v>
          </cell>
          <cell r="L116">
            <v>0</v>
          </cell>
          <cell r="M116">
            <v>0</v>
          </cell>
        </row>
        <row r="117">
          <cell r="C117" t="str">
            <v>070231</v>
          </cell>
          <cell r="D117" t="str">
            <v>7.2.31</v>
          </cell>
          <cell r="E117" t="str">
            <v>JOELHO 90º SOLDÁVEL COM BUCHA DE LATÃO- 20mm- 1/2"</v>
          </cell>
          <cell r="F117" t="str">
            <v>JOELHO 90º SOLD. LRM 20mm x 1/2"</v>
          </cell>
          <cell r="G117" t="str">
            <v>m</v>
          </cell>
          <cell r="H117" t="str">
            <v>02</v>
          </cell>
          <cell r="I117">
            <v>2</v>
          </cell>
          <cell r="J117">
            <v>4.09</v>
          </cell>
          <cell r="K117">
            <v>9</v>
          </cell>
          <cell r="L117">
            <v>0</v>
          </cell>
          <cell r="M117">
            <v>0</v>
          </cell>
        </row>
        <row r="118">
          <cell r="C118" t="str">
            <v>070232</v>
          </cell>
          <cell r="D118" t="str">
            <v>7.2.32</v>
          </cell>
          <cell r="E118" t="str">
            <v>JOELHO DE REDUÇÃO 90º SOLDÁVEL 32mm- 25mm</v>
          </cell>
          <cell r="F118" t="str">
            <v>JOELHO RED. 90º SOLD. 32mm x 25mm</v>
          </cell>
          <cell r="G118" t="str">
            <v>m</v>
          </cell>
          <cell r="H118" t="str">
            <v>02</v>
          </cell>
          <cell r="I118">
            <v>4</v>
          </cell>
          <cell r="J118">
            <v>3.04</v>
          </cell>
          <cell r="K118">
            <v>9</v>
          </cell>
          <cell r="L118">
            <v>0</v>
          </cell>
          <cell r="M118">
            <v>0</v>
          </cell>
        </row>
        <row r="119">
          <cell r="C119" t="str">
            <v>070233</v>
          </cell>
          <cell r="D119" t="str">
            <v>7.2.33</v>
          </cell>
          <cell r="E119" t="str">
            <v>JOELHO DE REDUÇÃO 90º SOLDÁVEL COM BUCHA DE LATÃO 25mm 1/2"</v>
          </cell>
          <cell r="F119" t="str">
            <v>JOELHO RED. 90º LRM 25mm x 1/2"</v>
          </cell>
          <cell r="G119" t="str">
            <v>m</v>
          </cell>
          <cell r="H119" t="str">
            <v>02</v>
          </cell>
          <cell r="I119">
            <v>16</v>
          </cell>
          <cell r="J119">
            <v>4.6399999999999997</v>
          </cell>
          <cell r="K119">
            <v>9</v>
          </cell>
          <cell r="L119">
            <v>0</v>
          </cell>
          <cell r="M119">
            <v>0</v>
          </cell>
        </row>
        <row r="120">
          <cell r="C120" t="str">
            <v>070234</v>
          </cell>
          <cell r="D120" t="str">
            <v>7.2.34</v>
          </cell>
          <cell r="E120" t="str">
            <v>LUVA DE REDUÇÃO SOLDÁVEL 40mm-32mm</v>
          </cell>
          <cell r="F120" t="str">
            <v>LUVA DE REDUÇÃO SOLD. 40mm-32mm</v>
          </cell>
          <cell r="G120" t="str">
            <v>m</v>
          </cell>
          <cell r="H120" t="str">
            <v>01</v>
          </cell>
          <cell r="I120">
            <v>4</v>
          </cell>
          <cell r="J120">
            <v>6.91</v>
          </cell>
          <cell r="K120">
            <v>9</v>
          </cell>
          <cell r="L120">
            <v>0</v>
          </cell>
          <cell r="M120">
            <v>0</v>
          </cell>
        </row>
        <row r="121">
          <cell r="C121" t="str">
            <v>070235</v>
          </cell>
          <cell r="D121" t="str">
            <v>7.2.35</v>
          </cell>
          <cell r="E121" t="str">
            <v>LUVA DE REDUÇÃO SOLDÁVEL 50mm-20mm</v>
          </cell>
          <cell r="F121" t="str">
            <v>LUVA DE REDUÇÃO SOLD. 50mm-20mm</v>
          </cell>
          <cell r="G121" t="str">
            <v>m</v>
          </cell>
          <cell r="H121" t="str">
            <v>01</v>
          </cell>
          <cell r="I121">
            <v>2</v>
          </cell>
          <cell r="J121">
            <v>13.16</v>
          </cell>
          <cell r="K121">
            <v>9</v>
          </cell>
          <cell r="L121">
            <v>0</v>
          </cell>
          <cell r="M121">
            <v>0</v>
          </cell>
        </row>
        <row r="122">
          <cell r="C122" t="str">
            <v>070236</v>
          </cell>
          <cell r="D122" t="str">
            <v>7.2.36</v>
          </cell>
          <cell r="E122" t="str">
            <v>LUVA SOLDÁVEL 32mm</v>
          </cell>
          <cell r="F122" t="str">
            <v>LUVA SOLD. 32mm</v>
          </cell>
          <cell r="G122" t="str">
            <v>m</v>
          </cell>
          <cell r="H122" t="str">
            <v>01</v>
          </cell>
          <cell r="I122">
            <v>4</v>
          </cell>
          <cell r="J122">
            <v>1.93</v>
          </cell>
          <cell r="K122">
            <v>9</v>
          </cell>
          <cell r="L122">
            <v>0</v>
          </cell>
          <cell r="M122">
            <v>0</v>
          </cell>
        </row>
        <row r="123">
          <cell r="C123" t="str">
            <v>070237</v>
          </cell>
          <cell r="D123" t="str">
            <v>7.2.37</v>
          </cell>
          <cell r="E123" t="str">
            <v>LUVA SOLDÁVEL COM ROSCA 3/4"</v>
          </cell>
          <cell r="F123" t="str">
            <v>LUVA SOLD. COM ROSCA 3/4"</v>
          </cell>
          <cell r="G123" t="str">
            <v>m</v>
          </cell>
          <cell r="H123" t="str">
            <v>01</v>
          </cell>
          <cell r="I123">
            <v>8</v>
          </cell>
          <cell r="J123">
            <v>2.08</v>
          </cell>
          <cell r="K123">
            <v>9</v>
          </cell>
          <cell r="L123">
            <v>0</v>
          </cell>
          <cell r="M123">
            <v>0</v>
          </cell>
        </row>
        <row r="124">
          <cell r="C124" t="str">
            <v>070238</v>
          </cell>
          <cell r="D124" t="str">
            <v>7.2.38</v>
          </cell>
          <cell r="E124" t="str">
            <v>TÊ 90º SOLDÁVEL- 25mm</v>
          </cell>
          <cell r="F124" t="str">
            <v>TÊ 90º SOLD.- 25mm</v>
          </cell>
          <cell r="G124" t="str">
            <v>m</v>
          </cell>
          <cell r="H124" t="str">
            <v>01</v>
          </cell>
          <cell r="I124">
            <v>5</v>
          </cell>
          <cell r="J124">
            <v>2.5</v>
          </cell>
          <cell r="K124">
            <v>9</v>
          </cell>
          <cell r="L124">
            <v>0</v>
          </cell>
          <cell r="M124">
            <v>0</v>
          </cell>
        </row>
        <row r="125">
          <cell r="C125" t="str">
            <v>070239</v>
          </cell>
          <cell r="D125" t="str">
            <v>7.2.39</v>
          </cell>
          <cell r="E125" t="str">
            <v>TÊ 90º SOLDÁVEL- 40mm</v>
          </cell>
          <cell r="F125" t="str">
            <v>TÊ 90º SOLD.- 40mm</v>
          </cell>
          <cell r="G125" t="str">
            <v>m</v>
          </cell>
          <cell r="H125" t="str">
            <v>01</v>
          </cell>
          <cell r="I125">
            <v>8</v>
          </cell>
          <cell r="J125">
            <v>6.54</v>
          </cell>
          <cell r="K125">
            <v>9</v>
          </cell>
          <cell r="L125">
            <v>0</v>
          </cell>
          <cell r="M125">
            <v>0</v>
          </cell>
        </row>
        <row r="126">
          <cell r="C126" t="str">
            <v>070240</v>
          </cell>
          <cell r="D126" t="str">
            <v>7.2.40</v>
          </cell>
          <cell r="E126" t="str">
            <v>TÊ 90º SOLDÁVEL- 50mm</v>
          </cell>
          <cell r="F126" t="str">
            <v>TÊ 90º SOLD.- 50mm</v>
          </cell>
          <cell r="G126" t="str">
            <v>m</v>
          </cell>
          <cell r="H126" t="str">
            <v>01</v>
          </cell>
          <cell r="I126">
            <v>4</v>
          </cell>
          <cell r="J126">
            <v>7.24</v>
          </cell>
          <cell r="K126">
            <v>9</v>
          </cell>
          <cell r="L126">
            <v>0</v>
          </cell>
          <cell r="M126">
            <v>0</v>
          </cell>
        </row>
        <row r="127">
          <cell r="C127" t="str">
            <v>070241</v>
          </cell>
          <cell r="D127" t="str">
            <v>7.2.41</v>
          </cell>
          <cell r="E127" t="str">
            <v>TÊ REDUÇÃO 90º SOLDÁVEL 32mm-25mm</v>
          </cell>
          <cell r="F127" t="str">
            <v>TÊ REDUÇÃO 90º SOLD. 32mm-25mm</v>
          </cell>
          <cell r="G127" t="str">
            <v>m</v>
          </cell>
          <cell r="H127" t="str">
            <v>01</v>
          </cell>
          <cell r="I127">
            <v>4</v>
          </cell>
          <cell r="J127">
            <v>4.87</v>
          </cell>
          <cell r="K127">
            <v>9</v>
          </cell>
          <cell r="L127">
            <v>0</v>
          </cell>
          <cell r="M127">
            <v>0</v>
          </cell>
        </row>
        <row r="128">
          <cell r="C128" t="str">
            <v>070242</v>
          </cell>
          <cell r="D128" t="str">
            <v>7.2.42</v>
          </cell>
          <cell r="E128" t="str">
            <v>TÊ REDUÇÃO 90º SOLDÁVEL 50mm-40mm</v>
          </cell>
          <cell r="F128" t="str">
            <v>TÊ REDUÇÃO 90º SOLD. 50mm-40mm</v>
          </cell>
          <cell r="G128" t="str">
            <v>m</v>
          </cell>
          <cell r="H128" t="str">
            <v>01</v>
          </cell>
          <cell r="I128">
            <v>2</v>
          </cell>
          <cell r="J128">
            <v>11.83</v>
          </cell>
          <cell r="K128">
            <v>9</v>
          </cell>
          <cell r="L128">
            <v>0</v>
          </cell>
          <cell r="M128">
            <v>0</v>
          </cell>
        </row>
        <row r="129">
          <cell r="C129" t="str">
            <v>070243</v>
          </cell>
          <cell r="D129" t="str">
            <v>7.2.43</v>
          </cell>
          <cell r="E129" t="str">
            <v>BUCHA DE REDUÇÃO LONGA 50mm-40mm</v>
          </cell>
          <cell r="F129" t="str">
            <v>BUCHA DE REDUÇÃO LONGA 50mm-40mm</v>
          </cell>
          <cell r="G129" t="str">
            <v>m</v>
          </cell>
          <cell r="H129" t="str">
            <v>01</v>
          </cell>
          <cell r="I129">
            <v>5</v>
          </cell>
          <cell r="J129">
            <v>5.44</v>
          </cell>
          <cell r="K129">
            <v>9</v>
          </cell>
          <cell r="L129">
            <v>0</v>
          </cell>
          <cell r="M129">
            <v>0</v>
          </cell>
        </row>
        <row r="130">
          <cell r="C130" t="str">
            <v>070244</v>
          </cell>
          <cell r="D130" t="str">
            <v>7.2.44</v>
          </cell>
          <cell r="E130" t="str">
            <v>CURVA 90º CURTA- 40mm</v>
          </cell>
          <cell r="F130" t="str">
            <v>CURVA 90º CURTA- 40mm</v>
          </cell>
          <cell r="G130" t="str">
            <v>m</v>
          </cell>
          <cell r="H130" t="str">
            <v>01</v>
          </cell>
          <cell r="I130">
            <v>14</v>
          </cell>
          <cell r="J130">
            <v>3.04</v>
          </cell>
          <cell r="K130">
            <v>9</v>
          </cell>
          <cell r="L130">
            <v>0</v>
          </cell>
          <cell r="M130">
            <v>0</v>
          </cell>
        </row>
        <row r="131">
          <cell r="C131" t="str">
            <v>070245</v>
          </cell>
          <cell r="D131" t="str">
            <v>7.2.45</v>
          </cell>
          <cell r="E131" t="str">
            <v>JOELHO 45º- 40mm</v>
          </cell>
          <cell r="F131" t="str">
            <v>JOELHO 45º- 40mm</v>
          </cell>
          <cell r="G131" t="str">
            <v>m</v>
          </cell>
          <cell r="H131" t="str">
            <v>01</v>
          </cell>
          <cell r="I131">
            <v>3</v>
          </cell>
          <cell r="J131">
            <v>3.37</v>
          </cell>
          <cell r="K131">
            <v>9</v>
          </cell>
          <cell r="L131">
            <v>0</v>
          </cell>
          <cell r="M131">
            <v>0</v>
          </cell>
        </row>
        <row r="132">
          <cell r="C132" t="str">
            <v>070246</v>
          </cell>
          <cell r="D132" t="str">
            <v>7.2.46</v>
          </cell>
          <cell r="E132" t="str">
            <v>VÁLVULA PARA LAVATÓRIO E TANQUE 1"</v>
          </cell>
          <cell r="F132" t="str">
            <v>VÁLVULA PARA LAVATÓRIO E TANQUE 1"</v>
          </cell>
          <cell r="G132" t="str">
            <v>m</v>
          </cell>
          <cell r="H132" t="str">
            <v>01</v>
          </cell>
          <cell r="I132">
            <v>9</v>
          </cell>
          <cell r="J132">
            <v>6.07</v>
          </cell>
          <cell r="K132">
            <v>9</v>
          </cell>
          <cell r="L132">
            <v>0</v>
          </cell>
          <cell r="M132">
            <v>0</v>
          </cell>
        </row>
        <row r="133">
          <cell r="C133" t="str">
            <v>070247</v>
          </cell>
          <cell r="D133" t="str">
            <v>7.2.47</v>
          </cell>
          <cell r="E133" t="str">
            <v>JOELHO 45º- 50mm</v>
          </cell>
          <cell r="F133" t="str">
            <v>JOELHO 45º- 50mm</v>
          </cell>
          <cell r="G133" t="str">
            <v>m</v>
          </cell>
          <cell r="H133" t="str">
            <v>01</v>
          </cell>
          <cell r="I133">
            <v>6</v>
          </cell>
          <cell r="J133">
            <v>4.12</v>
          </cell>
          <cell r="K133">
            <v>9</v>
          </cell>
          <cell r="L133">
            <v>0</v>
          </cell>
          <cell r="M133">
            <v>0</v>
          </cell>
        </row>
        <row r="134">
          <cell r="C134" t="str">
            <v>070248</v>
          </cell>
          <cell r="D134" t="str">
            <v>7.2.48</v>
          </cell>
          <cell r="E134" t="str">
            <v>JOELHO 90º- 100mm</v>
          </cell>
          <cell r="F134" t="str">
            <v>JOELHO 90º- 100mm</v>
          </cell>
          <cell r="G134" t="str">
            <v>m</v>
          </cell>
          <cell r="H134" t="str">
            <v>01</v>
          </cell>
          <cell r="I134">
            <v>7</v>
          </cell>
          <cell r="J134">
            <v>8.1199999999999992</v>
          </cell>
          <cell r="K134">
            <v>9</v>
          </cell>
          <cell r="L134">
            <v>0</v>
          </cell>
          <cell r="M134">
            <v>0</v>
          </cell>
        </row>
        <row r="135">
          <cell r="C135" t="str">
            <v>070249</v>
          </cell>
          <cell r="D135" t="str">
            <v>7.2.49</v>
          </cell>
          <cell r="E135" t="str">
            <v>JOELHO 90º COM ANEL PARA ESGOTO SECUNDÁRIO 40mm- 1 1/2"</v>
          </cell>
          <cell r="F135" t="str">
            <v>JOELHO 90º COM ANEL 40mm x 1 1/2"</v>
          </cell>
          <cell r="G135" t="str">
            <v>m</v>
          </cell>
          <cell r="H135" t="str">
            <v>02</v>
          </cell>
          <cell r="I135">
            <v>10</v>
          </cell>
          <cell r="J135">
            <v>5.61</v>
          </cell>
          <cell r="K135">
            <v>9</v>
          </cell>
          <cell r="L135">
            <v>0</v>
          </cell>
          <cell r="M135">
            <v>0</v>
          </cell>
        </row>
        <row r="136">
          <cell r="C136" t="str">
            <v>070250</v>
          </cell>
          <cell r="D136" t="str">
            <v>7.2.50</v>
          </cell>
          <cell r="E136" t="str">
            <v>JUNÇÃO SIMPLES 100mm- 100mm</v>
          </cell>
          <cell r="F136" t="str">
            <v>JUNÇÃO SIMPLES 100mm- 100mm</v>
          </cell>
          <cell r="G136" t="str">
            <v>m</v>
          </cell>
          <cell r="H136" t="str">
            <v>01</v>
          </cell>
          <cell r="I136">
            <v>5</v>
          </cell>
          <cell r="J136">
            <v>12.16</v>
          </cell>
          <cell r="K136">
            <v>9</v>
          </cell>
          <cell r="L136">
            <v>0</v>
          </cell>
          <cell r="M136">
            <v>0</v>
          </cell>
        </row>
        <row r="137">
          <cell r="C137" t="str">
            <v>070251</v>
          </cell>
          <cell r="D137" t="str">
            <v>7.2.51</v>
          </cell>
          <cell r="E137" t="str">
            <v>JUNÇÃO SIMPLES 100mm- 50mm</v>
          </cell>
          <cell r="F137" t="str">
            <v>JUNÇÃO SIMPLES 100mm- 50mm</v>
          </cell>
          <cell r="G137" t="str">
            <v>m</v>
          </cell>
          <cell r="H137" t="str">
            <v>01</v>
          </cell>
          <cell r="I137">
            <v>6</v>
          </cell>
          <cell r="J137">
            <v>11.68</v>
          </cell>
          <cell r="K137">
            <v>9</v>
          </cell>
          <cell r="L137">
            <v>0</v>
          </cell>
          <cell r="M137">
            <v>0</v>
          </cell>
        </row>
        <row r="138">
          <cell r="C138" t="str">
            <v>070252</v>
          </cell>
          <cell r="D138" t="str">
            <v>7.2.52</v>
          </cell>
          <cell r="E138" t="str">
            <v>JUNÇÃO SIMPLES 50mm- 50mm</v>
          </cell>
          <cell r="F138" t="str">
            <v>JUNÇÃO SIMPLES 50mm- 50mm</v>
          </cell>
          <cell r="G138" t="str">
            <v>m</v>
          </cell>
          <cell r="H138" t="str">
            <v>01</v>
          </cell>
          <cell r="I138">
            <v>8</v>
          </cell>
          <cell r="J138">
            <v>5.29</v>
          </cell>
          <cell r="K138">
            <v>9</v>
          </cell>
          <cell r="L138">
            <v>0</v>
          </cell>
          <cell r="M138">
            <v>0</v>
          </cell>
        </row>
        <row r="139">
          <cell r="C139" t="str">
            <v>070253</v>
          </cell>
          <cell r="D139" t="str">
            <v>7.2.53</v>
          </cell>
          <cell r="E139" t="str">
            <v>SIFÃO DE COPO PARA PIA E LAVATÓRIO 1" (1 1/2")</v>
          </cell>
          <cell r="F139" t="str">
            <v>SIFÃO DE COPO 1" (1 1/2")</v>
          </cell>
          <cell r="G139" t="str">
            <v>m</v>
          </cell>
          <cell r="H139" t="str">
            <v>02</v>
          </cell>
          <cell r="I139">
            <v>9</v>
          </cell>
          <cell r="J139">
            <v>10.1</v>
          </cell>
          <cell r="K139">
            <v>9</v>
          </cell>
          <cell r="L139">
            <v>0</v>
          </cell>
          <cell r="M139">
            <v>0</v>
          </cell>
        </row>
        <row r="140">
          <cell r="C140" t="str">
            <v>070254</v>
          </cell>
          <cell r="D140" t="str">
            <v>7.2.54</v>
          </cell>
          <cell r="E140" t="str">
            <v>TÊ SANITÁRIO 100mm-50mm</v>
          </cell>
          <cell r="F140" t="str">
            <v>TÊ SANITÁRIO 100mm-50mm</v>
          </cell>
          <cell r="G140" t="str">
            <v>m</v>
          </cell>
          <cell r="H140" t="str">
            <v>01</v>
          </cell>
          <cell r="I140">
            <v>1</v>
          </cell>
          <cell r="J140">
            <v>14.09</v>
          </cell>
          <cell r="K140">
            <v>9</v>
          </cell>
          <cell r="L140">
            <v>0</v>
          </cell>
          <cell r="M140">
            <v>0</v>
          </cell>
        </row>
        <row r="141">
          <cell r="C141" t="str">
            <v>070255</v>
          </cell>
          <cell r="D141" t="str">
            <v>7.2.55</v>
          </cell>
          <cell r="E141" t="str">
            <v>TUBO PVC PONTA E BOLSA COM VIROLA - 50mm</v>
          </cell>
          <cell r="F141" t="str">
            <v>TUBO PVC P&amp;B COM VIROLA - 50mm</v>
          </cell>
          <cell r="G141" t="str">
            <v>m</v>
          </cell>
          <cell r="H141" t="str">
            <v>01</v>
          </cell>
          <cell r="I141">
            <v>3</v>
          </cell>
          <cell r="J141">
            <v>6.99</v>
          </cell>
          <cell r="K141">
            <v>9</v>
          </cell>
          <cell r="L141">
            <v>0</v>
          </cell>
          <cell r="M141">
            <v>0</v>
          </cell>
        </row>
        <row r="142">
          <cell r="C142" t="str">
            <v>070256</v>
          </cell>
          <cell r="D142" t="str">
            <v>7.2.56</v>
          </cell>
          <cell r="E142" t="str">
            <v>TUBO RÍGIDO COM PONTA LISA 100mm</v>
          </cell>
          <cell r="F142" t="str">
            <v>TUBO RÍGIDO COM PONTA LISA 100mm</v>
          </cell>
          <cell r="G142" t="str">
            <v>m</v>
          </cell>
          <cell r="H142" t="str">
            <v>01</v>
          </cell>
          <cell r="I142">
            <v>35</v>
          </cell>
          <cell r="J142">
            <v>19.579999999999998</v>
          </cell>
          <cell r="K142">
            <v>9</v>
          </cell>
          <cell r="L142">
            <v>0</v>
          </cell>
          <cell r="M142">
            <v>0</v>
          </cell>
        </row>
        <row r="143">
          <cell r="C143" t="str">
            <v>070257</v>
          </cell>
          <cell r="D143" t="str">
            <v>7.2.57</v>
          </cell>
          <cell r="E143" t="str">
            <v>TUBO RÍGIDO COM PONTA LISA 40mm</v>
          </cell>
          <cell r="F143" t="str">
            <v>TUBO RÍGIDO COM PONTA LISA 40mm</v>
          </cell>
          <cell r="G143" t="str">
            <v>m</v>
          </cell>
          <cell r="H143" t="str">
            <v>01</v>
          </cell>
          <cell r="I143">
            <v>20</v>
          </cell>
          <cell r="J143">
            <v>9.5399999999999991</v>
          </cell>
          <cell r="K143">
            <v>9</v>
          </cell>
          <cell r="L143">
            <v>0</v>
          </cell>
          <cell r="M143">
            <v>0</v>
          </cell>
        </row>
        <row r="144">
          <cell r="C144" t="str">
            <v>070258</v>
          </cell>
          <cell r="D144" t="str">
            <v>7.2.58</v>
          </cell>
          <cell r="E144" t="str">
            <v>TUBO RÍGIDO COM PONTA LISA 50mm</v>
          </cell>
          <cell r="F144" t="str">
            <v>TUBO RÍGIDO COM PONTA LISA 50mm</v>
          </cell>
          <cell r="G144" t="str">
            <v>m</v>
          </cell>
          <cell r="H144" t="str">
            <v>01</v>
          </cell>
          <cell r="I144">
            <v>17</v>
          </cell>
          <cell r="J144">
            <v>13.43</v>
          </cell>
          <cell r="K144">
            <v>9</v>
          </cell>
          <cell r="L144">
            <v>0</v>
          </cell>
          <cell r="M144">
            <v>0</v>
          </cell>
        </row>
        <row r="145">
          <cell r="C145" t="str">
            <v>0703</v>
          </cell>
          <cell r="D145" t="str">
            <v>7.3</v>
          </cell>
          <cell r="E145" t="str">
            <v>LOUÇAS, METAIS E ACESSÓRIOS</v>
          </cell>
          <cell r="F145" t="str">
            <v>LOUÇAS, METAIS E ACESSÓRIOS</v>
          </cell>
          <cell r="G145">
            <v>0</v>
          </cell>
          <cell r="H145" t="str">
            <v>01</v>
          </cell>
          <cell r="I145">
            <v>0</v>
          </cell>
          <cell r="J145">
            <v>0</v>
          </cell>
          <cell r="K145">
            <v>9</v>
          </cell>
          <cell r="L145" t="str">
            <v>T</v>
          </cell>
          <cell r="M145">
            <v>0</v>
          </cell>
        </row>
        <row r="146">
          <cell r="C146" t="str">
            <v>070301</v>
          </cell>
          <cell r="D146" t="str">
            <v>7.3.1</v>
          </cell>
          <cell r="E146" t="str">
            <v>VASO SANITÁRIO PARA DEFICIENTES FÍSICOS PARA VÁLVULA DE DESCARGA, EM LOUÇA BRANCA, COM ACESSÓRIOS, INCLUSIVE ASSENTO, CONJUNTO DE FIXAÇÃO, ANEL DE VEDAÇÃO, TUBO PVC DE LIGAÇÃO</v>
          </cell>
          <cell r="F146" t="str">
            <v>VASO SANIT. P/ DEFIC. P/ VÁLV. DESCARGA</v>
          </cell>
          <cell r="G146" t="str">
            <v>und</v>
          </cell>
          <cell r="H146" t="str">
            <v>05</v>
          </cell>
          <cell r="I146">
            <v>2</v>
          </cell>
          <cell r="J146">
            <v>236.6</v>
          </cell>
          <cell r="K146">
            <v>9</v>
          </cell>
          <cell r="L146">
            <v>0</v>
          </cell>
          <cell r="M146">
            <v>0</v>
          </cell>
        </row>
        <row r="147">
          <cell r="C147" t="str">
            <v>070302</v>
          </cell>
          <cell r="D147" t="str">
            <v>7.3.2</v>
          </cell>
          <cell r="E147" t="str">
            <v>VASO SANITÁRIO SIFONADO, PARA VÁLVULA DE DESCARGA, EM LOUÇA BRANCA, COM ACESSÓRIOS, INCLUSIVE ASSENTO PLÁSTICO, ANEL DE VEDAÇÃO, TUBO PVC DE LIGAÇÃO</v>
          </cell>
          <cell r="F147" t="str">
            <v>VASO SANIT., P/ VÁLVULA DE DESCARGA</v>
          </cell>
          <cell r="G147" t="str">
            <v>und</v>
          </cell>
          <cell r="H147" t="str">
            <v>04</v>
          </cell>
          <cell r="I147">
            <v>4</v>
          </cell>
          <cell r="J147">
            <v>74.430000000000007</v>
          </cell>
          <cell r="K147">
            <v>9</v>
          </cell>
          <cell r="L147">
            <v>0</v>
          </cell>
          <cell r="M147">
            <v>0</v>
          </cell>
        </row>
        <row r="148">
          <cell r="C148" t="str">
            <v>070303</v>
          </cell>
          <cell r="D148" t="str">
            <v>7.3.3</v>
          </cell>
          <cell r="E148" t="str">
            <v>TORNEIRA CROMADA PARA LAVATÓRIO 1/2"</v>
          </cell>
          <cell r="F148" t="str">
            <v>TORNEIRA CROMADA PARA LAVATÓRIO 1/2"</v>
          </cell>
          <cell r="G148" t="str">
            <v>und</v>
          </cell>
          <cell r="H148" t="str">
            <v>01</v>
          </cell>
          <cell r="I148">
            <v>8</v>
          </cell>
          <cell r="J148">
            <v>38.020000000000003</v>
          </cell>
          <cell r="K148">
            <v>9</v>
          </cell>
          <cell r="L148">
            <v>0</v>
          </cell>
          <cell r="M148">
            <v>0</v>
          </cell>
        </row>
        <row r="149">
          <cell r="C149" t="str">
            <v>070304</v>
          </cell>
          <cell r="D149" t="str">
            <v>7.3.4</v>
          </cell>
          <cell r="E149" t="str">
            <v>TORNEIRA DE BÓIA PARA CAIXA D´AGUA EM PVC D=3/4"</v>
          </cell>
          <cell r="F149" t="str">
            <v>TORNEIRA BÓIA P/ CX D´AGUA PVC D=3/4"</v>
          </cell>
          <cell r="G149" t="str">
            <v>und</v>
          </cell>
          <cell r="H149" t="str">
            <v>02</v>
          </cell>
          <cell r="I149">
            <v>1</v>
          </cell>
          <cell r="J149">
            <v>30.65</v>
          </cell>
          <cell r="K149">
            <v>9</v>
          </cell>
          <cell r="L149">
            <v>0</v>
          </cell>
          <cell r="M149">
            <v>0</v>
          </cell>
        </row>
        <row r="150">
          <cell r="C150" t="str">
            <v>0704</v>
          </cell>
          <cell r="D150" t="str">
            <v>7.4</v>
          </cell>
          <cell r="E150" t="str">
            <v>SISTEMA DE PROTEÇÃO CONTRA DESCARGAS ATMOSFÉRICAS (SPDA)</v>
          </cell>
          <cell r="F150" t="str">
            <v>SISTEMA DE PROTEÇÃO CONTRA DESCARGAS ATMOSFÉRICAS (SPDA)</v>
          </cell>
          <cell r="G150">
            <v>0</v>
          </cell>
          <cell r="H150" t="str">
            <v>02</v>
          </cell>
          <cell r="I150">
            <v>0</v>
          </cell>
          <cell r="J150">
            <v>0</v>
          </cell>
          <cell r="K150">
            <v>9</v>
          </cell>
          <cell r="L150" t="str">
            <v>T</v>
          </cell>
          <cell r="M150">
            <v>0</v>
          </cell>
        </row>
        <row r="151">
          <cell r="C151" t="str">
            <v>070401</v>
          </cell>
          <cell r="D151" t="str">
            <v>7.4.1</v>
          </cell>
          <cell r="E151" t="str">
            <v>CAIXA DE INSPEÇÃO 30X30X40cm COM TAMPA DE FERRO FUNDIDO</v>
          </cell>
          <cell r="F151" t="str">
            <v>CX INSPEÇÃO 30X30X40cm TAMPA DE FERRO</v>
          </cell>
          <cell r="G151" t="str">
            <v>und</v>
          </cell>
          <cell r="H151" t="str">
            <v>02</v>
          </cell>
          <cell r="I151">
            <v>5</v>
          </cell>
          <cell r="J151">
            <v>51.87</v>
          </cell>
          <cell r="K151">
            <v>9</v>
          </cell>
          <cell r="L151">
            <v>0</v>
          </cell>
          <cell r="M151">
            <v>0</v>
          </cell>
        </row>
        <row r="152">
          <cell r="C152" t="str">
            <v>070402</v>
          </cell>
          <cell r="D152" t="str">
            <v>7.4.2</v>
          </cell>
          <cell r="E152" t="str">
            <v>CONECTOR DE BRONZE PARA HASTE 5/8"</v>
          </cell>
          <cell r="F152" t="str">
            <v>CONECTOR DE BRONZE PARA HASTE 5/8"</v>
          </cell>
          <cell r="G152" t="str">
            <v>und</v>
          </cell>
          <cell r="H152" t="str">
            <v>01</v>
          </cell>
          <cell r="I152">
            <v>12</v>
          </cell>
          <cell r="J152">
            <v>11.38</v>
          </cell>
          <cell r="K152">
            <v>9</v>
          </cell>
          <cell r="L152">
            <v>0</v>
          </cell>
          <cell r="M152">
            <v>0</v>
          </cell>
        </row>
        <row r="153">
          <cell r="C153" t="str">
            <v>070403</v>
          </cell>
          <cell r="D153" t="str">
            <v>7.4.3</v>
          </cell>
          <cell r="E153" t="str">
            <v>CORDOALHA DE COBRE NU 35mm²</v>
          </cell>
          <cell r="F153" t="str">
            <v>CORDOALHA DE COBRE NU 35mm²</v>
          </cell>
          <cell r="G153" t="str">
            <v>und</v>
          </cell>
          <cell r="H153" t="str">
            <v>01</v>
          </cell>
          <cell r="I153">
            <v>24</v>
          </cell>
          <cell r="J153">
            <v>18.52</v>
          </cell>
          <cell r="K153">
            <v>9</v>
          </cell>
          <cell r="L153">
            <v>0</v>
          </cell>
          <cell r="M153">
            <v>0</v>
          </cell>
        </row>
        <row r="154">
          <cell r="C154" t="str">
            <v>070404</v>
          </cell>
          <cell r="D154" t="str">
            <v>7.4.4</v>
          </cell>
          <cell r="E154" t="str">
            <v>HASTE TIPO COOPPERWELD 5/8"-3m</v>
          </cell>
          <cell r="F154" t="str">
            <v>HASTE TIPO COOPPERWELD 5/8"-3m</v>
          </cell>
          <cell r="G154" t="str">
            <v>und</v>
          </cell>
          <cell r="H154" t="str">
            <v>01</v>
          </cell>
          <cell r="I154">
            <v>5</v>
          </cell>
          <cell r="J154">
            <v>22.31</v>
          </cell>
          <cell r="K154">
            <v>9</v>
          </cell>
          <cell r="L154">
            <v>0</v>
          </cell>
          <cell r="M154">
            <v>0</v>
          </cell>
        </row>
        <row r="155">
          <cell r="C155" t="str">
            <v>070405</v>
          </cell>
          <cell r="D155" t="str">
            <v>7.4.5</v>
          </cell>
          <cell r="E155" t="str">
            <v>TUBO PVC 40mm</v>
          </cell>
          <cell r="F155" t="str">
            <v>TUBO PVC 40mm</v>
          </cell>
          <cell r="G155" t="str">
            <v>und</v>
          </cell>
          <cell r="H155" t="str">
            <v>01</v>
          </cell>
          <cell r="I155">
            <v>18</v>
          </cell>
          <cell r="J155">
            <v>20.71</v>
          </cell>
          <cell r="K155">
            <v>9</v>
          </cell>
          <cell r="L155">
            <v>0</v>
          </cell>
          <cell r="M155">
            <v>0</v>
          </cell>
        </row>
        <row r="156">
          <cell r="C156" t="str">
            <v>070406</v>
          </cell>
          <cell r="D156" t="str">
            <v>7.4.6</v>
          </cell>
          <cell r="E156" t="str">
            <v>TERMINAL DE PRESSÃO TIPO PRENSA COM 4 PARAFUSOS</v>
          </cell>
          <cell r="F156" t="str">
            <v>TERMINAL DE PRESSÃO TIPO PRENSA</v>
          </cell>
          <cell r="G156" t="str">
            <v>und</v>
          </cell>
          <cell r="H156" t="str">
            <v>02</v>
          </cell>
          <cell r="I156">
            <v>5</v>
          </cell>
          <cell r="J156">
            <v>5.39</v>
          </cell>
          <cell r="K156">
            <v>9</v>
          </cell>
          <cell r="L156">
            <v>0</v>
          </cell>
          <cell r="M156">
            <v>0</v>
          </cell>
        </row>
        <row r="157">
          <cell r="C157" t="str">
            <v>0705</v>
          </cell>
          <cell r="D157" t="str">
            <v>7.5</v>
          </cell>
          <cell r="E157" t="str">
            <v>DRENAGEM PLUVIAL</v>
          </cell>
          <cell r="F157" t="str">
            <v>DRENAGEM PLUVIAL</v>
          </cell>
          <cell r="G157">
            <v>0</v>
          </cell>
          <cell r="H157" t="str">
            <v>01</v>
          </cell>
          <cell r="I157">
            <v>0</v>
          </cell>
          <cell r="J157">
            <v>0</v>
          </cell>
          <cell r="K157">
            <v>9</v>
          </cell>
          <cell r="L157" t="str">
            <v>T</v>
          </cell>
          <cell r="M157">
            <v>0</v>
          </cell>
        </row>
        <row r="158">
          <cell r="C158" t="str">
            <v>070501</v>
          </cell>
          <cell r="D158" t="str">
            <v>7.5.1</v>
          </cell>
          <cell r="E158" t="str">
            <v>CALHA EM CHAPA DE AÇO GALVANIZADO nº24</v>
          </cell>
          <cell r="F158" t="str">
            <v>CALHA CHAPA DE AÇO GALVANIZADO nº24</v>
          </cell>
          <cell r="G158" t="str">
            <v>m</v>
          </cell>
          <cell r="H158" t="str">
            <v>01</v>
          </cell>
          <cell r="I158">
            <v>72</v>
          </cell>
          <cell r="J158">
            <v>18.2</v>
          </cell>
          <cell r="K158">
            <v>9</v>
          </cell>
          <cell r="L158">
            <v>0</v>
          </cell>
          <cell r="M158">
            <v>0</v>
          </cell>
        </row>
        <row r="159">
          <cell r="C159" t="str">
            <v>070502</v>
          </cell>
          <cell r="D159" t="str">
            <v>7.5.2</v>
          </cell>
          <cell r="E159" t="str">
            <v>TUBO DE QUEDA- ÁGUA PLUVIAL DN=150mm</v>
          </cell>
          <cell r="F159" t="str">
            <v>TUBO DE QUEDA- ÁGUA PLUVIAL DN=150mm</v>
          </cell>
          <cell r="G159" t="str">
            <v>m</v>
          </cell>
          <cell r="H159" t="str">
            <v>01</v>
          </cell>
          <cell r="I159">
            <v>20</v>
          </cell>
          <cell r="J159">
            <v>33.619999999999997</v>
          </cell>
          <cell r="K159">
            <v>9</v>
          </cell>
          <cell r="L159">
            <v>0</v>
          </cell>
          <cell r="M159">
            <v>0</v>
          </cell>
        </row>
        <row r="160">
          <cell r="C160" t="str">
            <v>070503</v>
          </cell>
          <cell r="D160" t="str">
            <v>7.5.3</v>
          </cell>
          <cell r="E160" t="str">
            <v>JOELHO PVC 90º D=150mm- TUBULAÇÃO PLUVIAL</v>
          </cell>
          <cell r="F160" t="str">
            <v>JOELHO PVC 90º D=150mm PLUVIAL</v>
          </cell>
          <cell r="G160" t="str">
            <v>m</v>
          </cell>
          <cell r="H160" t="str">
            <v>01</v>
          </cell>
          <cell r="I160">
            <v>4</v>
          </cell>
          <cell r="J160">
            <v>46.1</v>
          </cell>
          <cell r="K160">
            <v>9</v>
          </cell>
          <cell r="L160">
            <v>0</v>
          </cell>
          <cell r="M160">
            <v>0</v>
          </cell>
        </row>
        <row r="161">
          <cell r="C161" t="str">
            <v>070504</v>
          </cell>
          <cell r="D161" t="str">
            <v>7.5.4</v>
          </cell>
          <cell r="E161" t="str">
            <v>RALO HEMISFÉRICO TIPO "ABACAXI" COM TELA DE AÇO COM FUNIL DE SAÍDA CÔNICO</v>
          </cell>
          <cell r="F161" t="str">
            <v>RALO HEMISFÉRICO TIPO "ABACAXI"</v>
          </cell>
          <cell r="G161" t="str">
            <v>und</v>
          </cell>
          <cell r="H161" t="str">
            <v>02</v>
          </cell>
          <cell r="I161">
            <v>4</v>
          </cell>
          <cell r="J161">
            <v>21.9</v>
          </cell>
          <cell r="K161">
            <v>9</v>
          </cell>
          <cell r="L161">
            <v>0</v>
          </cell>
          <cell r="M161">
            <v>0</v>
          </cell>
        </row>
        <row r="162">
          <cell r="C162" t="str">
            <v>070505</v>
          </cell>
          <cell r="D162" t="str">
            <v>7.5.5</v>
          </cell>
          <cell r="E162" t="str">
            <v>CANALETA DE CONCRETO COM TAMPA REMOVÍVEL EM CHAPA DE AÇO (0,25X0,25X0,25m)</v>
          </cell>
          <cell r="F162" t="str">
            <v>CANALETA DE CONCRETO  0,25X0,25X0,25m</v>
          </cell>
          <cell r="G162" t="str">
            <v>m</v>
          </cell>
          <cell r="H162" t="str">
            <v>02</v>
          </cell>
          <cell r="I162">
            <v>72</v>
          </cell>
          <cell r="J162">
            <v>5.09</v>
          </cell>
          <cell r="K162">
            <v>9</v>
          </cell>
          <cell r="L162">
            <v>0</v>
          </cell>
          <cell r="M162">
            <v>0</v>
          </cell>
        </row>
        <row r="163">
          <cell r="C163" t="str">
            <v>08</v>
          </cell>
          <cell r="D163" t="str">
            <v>08</v>
          </cell>
          <cell r="E163" t="str">
            <v>REVESTIMENTOS</v>
          </cell>
          <cell r="F163" t="str">
            <v>REVESTIMENTOS</v>
          </cell>
          <cell r="G163">
            <v>0</v>
          </cell>
          <cell r="H163" t="str">
            <v>01</v>
          </cell>
          <cell r="I163">
            <v>0</v>
          </cell>
          <cell r="J163">
            <v>0</v>
          </cell>
          <cell r="K163">
            <v>9</v>
          </cell>
          <cell r="L163" t="str">
            <v>T</v>
          </cell>
          <cell r="M163">
            <v>0</v>
          </cell>
        </row>
        <row r="164">
          <cell r="C164" t="str">
            <v>0801</v>
          </cell>
          <cell r="D164" t="str">
            <v>8.1</v>
          </cell>
          <cell r="E164" t="str">
            <v>CHAPISCO C/ ARGAMASSA DE CIMENTO E AREIA S/PENEIRAR TRAÇO 1:3 ESP.= 5mm P/ PAREDE</v>
          </cell>
          <cell r="F164" t="str">
            <v>CHAPISCO TRAÇO 1:3 P/ PAREDE</v>
          </cell>
          <cell r="G164" t="str">
            <v>m²</v>
          </cell>
          <cell r="H164" t="str">
            <v>02</v>
          </cell>
          <cell r="I164">
            <v>960.1</v>
          </cell>
          <cell r="J164">
            <v>2.2000000000000002</v>
          </cell>
          <cell r="K164">
            <v>9</v>
          </cell>
          <cell r="L164">
            <v>0</v>
          </cell>
          <cell r="M164">
            <v>0</v>
          </cell>
        </row>
        <row r="165">
          <cell r="C165" t="str">
            <v>0802</v>
          </cell>
          <cell r="D165" t="str">
            <v>8.2</v>
          </cell>
          <cell r="E165" t="str">
            <v>EMBOÇO C/ ARGAMASSA DE CIMENTO E AREIA S/ PENEIRAR, TRAÇO 1:7</v>
          </cell>
          <cell r="F165" t="str">
            <v>EMBOÇO, TRAÇO 1:7</v>
          </cell>
          <cell r="G165" t="str">
            <v>m²</v>
          </cell>
          <cell r="H165" t="str">
            <v>02</v>
          </cell>
          <cell r="I165">
            <v>409.1</v>
          </cell>
          <cell r="J165">
            <v>7.21</v>
          </cell>
          <cell r="K165">
            <v>9</v>
          </cell>
          <cell r="L165">
            <v>0</v>
          </cell>
          <cell r="M165">
            <v>0</v>
          </cell>
        </row>
        <row r="166">
          <cell r="C166" t="str">
            <v>0803</v>
          </cell>
          <cell r="D166" t="str">
            <v>8.3</v>
          </cell>
          <cell r="E166" t="str">
            <v>REBOCO C/ARGAMASSA PRÉ-FABRICADA, ADESIVO DE ALTA RESISTÊNCIA P/TINTA EPÓXI ESP= 5mm P/PAREDE</v>
          </cell>
          <cell r="F166" t="str">
            <v>REBOCO C/ARGAMASSA PRÉ-FABRICADA</v>
          </cell>
          <cell r="G166" t="str">
            <v>m²</v>
          </cell>
          <cell r="H166" t="str">
            <v>03</v>
          </cell>
          <cell r="I166">
            <v>551</v>
          </cell>
          <cell r="J166">
            <v>6.44</v>
          </cell>
          <cell r="K166">
            <v>9</v>
          </cell>
          <cell r="L166">
            <v>0</v>
          </cell>
          <cell r="M166">
            <v>0</v>
          </cell>
        </row>
        <row r="167">
          <cell r="C167" t="str">
            <v>0804</v>
          </cell>
          <cell r="D167" t="str">
            <v>8.4</v>
          </cell>
          <cell r="E167" t="str">
            <v>REVESTIMENTO CERÂMICO DE PAREDES PEI IV- CERÂMICA 20X20cm- INCL. REJUNTE- CONFORME PROJETO</v>
          </cell>
          <cell r="F167" t="str">
            <v>REVEST. DE PAREDES PEI IV- 20X20cm</v>
          </cell>
          <cell r="G167" t="str">
            <v>m²</v>
          </cell>
          <cell r="H167" t="str">
            <v>03</v>
          </cell>
          <cell r="I167">
            <v>328</v>
          </cell>
          <cell r="J167">
            <v>17.25</v>
          </cell>
          <cell r="K167">
            <v>9</v>
          </cell>
          <cell r="L167">
            <v>0</v>
          </cell>
          <cell r="M167">
            <v>0</v>
          </cell>
        </row>
        <row r="168">
          <cell r="C168" t="str">
            <v>0805</v>
          </cell>
          <cell r="D168" t="str">
            <v>8.5</v>
          </cell>
          <cell r="E168" t="str">
            <v>REVESTIMENTO CERÂMICO DE PAREDES PEI IV- CERÂMICA 10X10cm- INCL. REJUNTE- CONFORME PROJETO</v>
          </cell>
          <cell r="F168" t="str">
            <v>REVEST. DE PAREDES PEI IV- 10X10cm</v>
          </cell>
          <cell r="G168" t="str">
            <v>m²</v>
          </cell>
          <cell r="H168" t="str">
            <v>03</v>
          </cell>
          <cell r="I168">
            <v>81.099999999999994</v>
          </cell>
          <cell r="J168">
            <v>30.97</v>
          </cell>
          <cell r="K168">
            <v>9</v>
          </cell>
          <cell r="L168">
            <v>0</v>
          </cell>
          <cell r="M168">
            <v>0</v>
          </cell>
        </row>
        <row r="169">
          <cell r="C169" t="str">
            <v>09</v>
          </cell>
          <cell r="D169" t="str">
            <v>09</v>
          </cell>
          <cell r="E169" t="str">
            <v>PAVIMENTAÇÃO</v>
          </cell>
          <cell r="F169" t="str">
            <v>PAVIMENTAÇÃO</v>
          </cell>
          <cell r="G169">
            <v>0</v>
          </cell>
          <cell r="H169" t="str">
            <v>01</v>
          </cell>
          <cell r="I169">
            <v>0</v>
          </cell>
          <cell r="J169">
            <v>0</v>
          </cell>
          <cell r="K169">
            <v>9</v>
          </cell>
          <cell r="L169" t="str">
            <v>T</v>
          </cell>
          <cell r="M169">
            <v>0</v>
          </cell>
        </row>
        <row r="170">
          <cell r="C170" t="str">
            <v>0901</v>
          </cell>
          <cell r="D170" t="str">
            <v>9.1</v>
          </cell>
          <cell r="E170" t="str">
            <v>LASTRO DE BRITA GRADUADA APILOADA (ESP.= 6cm)</v>
          </cell>
          <cell r="F170" t="str">
            <v>LASTRO DE BRITA GRADUADA APILOADA</v>
          </cell>
          <cell r="G170" t="str">
            <v>m²</v>
          </cell>
          <cell r="H170" t="str">
            <v>02</v>
          </cell>
          <cell r="I170">
            <v>633.20000000000005</v>
          </cell>
          <cell r="J170">
            <v>2.93</v>
          </cell>
          <cell r="K170">
            <v>9</v>
          </cell>
          <cell r="L170">
            <v>0</v>
          </cell>
          <cell r="M170">
            <v>0</v>
          </cell>
        </row>
        <row r="171">
          <cell r="C171" t="str">
            <v>0902</v>
          </cell>
          <cell r="D171" t="str">
            <v>9.2</v>
          </cell>
          <cell r="E171" t="str">
            <v>PISO EM CONCRETO ARMADO COM TELA E JUNTAS DE DILATAÇÃO (ESP.=10cm)</v>
          </cell>
          <cell r="F171" t="str">
            <v>PISO EM CONCRETO ARMADO COM TELA</v>
          </cell>
          <cell r="G171" t="str">
            <v>m²</v>
          </cell>
          <cell r="H171" t="str">
            <v>02</v>
          </cell>
          <cell r="I171">
            <v>633.20000000000005</v>
          </cell>
          <cell r="J171">
            <v>30.01</v>
          </cell>
          <cell r="K171">
            <v>9</v>
          </cell>
          <cell r="L171">
            <v>0</v>
          </cell>
          <cell r="M171">
            <v>0</v>
          </cell>
        </row>
        <row r="172">
          <cell r="C172" t="str">
            <v>0903</v>
          </cell>
          <cell r="D172" t="str">
            <v>9.3</v>
          </cell>
          <cell r="E172" t="str">
            <v>PISO EM CONCRETO SIMPLES DESEMPOLADO (ESP.=5cm), INCLUSIVE CONTRAPISO</v>
          </cell>
          <cell r="F172" t="str">
            <v>PISO EM CONCRETO SIMPLES DESEMPOLADO</v>
          </cell>
          <cell r="G172" t="str">
            <v>m²</v>
          </cell>
          <cell r="H172" t="str">
            <v>02</v>
          </cell>
          <cell r="I172">
            <v>195.4</v>
          </cell>
          <cell r="J172">
            <v>18.739999999999998</v>
          </cell>
          <cell r="K172">
            <v>9</v>
          </cell>
          <cell r="L172">
            <v>0</v>
          </cell>
          <cell r="M172">
            <v>0</v>
          </cell>
        </row>
        <row r="173">
          <cell r="C173" t="str">
            <v>0904</v>
          </cell>
          <cell r="D173" t="str">
            <v>9.4</v>
          </cell>
          <cell r="E173" t="str">
            <v>JUNTA DE RETRAÇÃO, SERRADA COM DISCO DIAMANTADO, PARA PAVIMENTOS EM PLACA DE CONCRETO, PROF.=5cm, INCLUSIVE PREENCHIMENTO COM MASTIQUE</v>
          </cell>
          <cell r="F173" t="str">
            <v>JUNTA DE RETRAÇÃO</v>
          </cell>
          <cell r="G173" t="str">
            <v>m²</v>
          </cell>
          <cell r="H173" t="str">
            <v>04</v>
          </cell>
          <cell r="I173">
            <v>627.04999999999995</v>
          </cell>
          <cell r="J173">
            <v>12.97</v>
          </cell>
          <cell r="K173">
            <v>9</v>
          </cell>
          <cell r="L173">
            <v>0</v>
          </cell>
          <cell r="M173">
            <v>0</v>
          </cell>
        </row>
        <row r="174">
          <cell r="C174" t="str">
            <v>0905</v>
          </cell>
          <cell r="D174" t="str">
            <v>9.5</v>
          </cell>
          <cell r="E174" t="str">
            <v>PISO CERÂMICO ESMALTADO PEI V 33X33cm- INCL. REJUNTE, CONFORME PROJETO</v>
          </cell>
          <cell r="F174" t="str">
            <v>PISO CERÂMICO ESMALTADO PEI V 33X33cm</v>
          </cell>
          <cell r="G174" t="str">
            <v>m²</v>
          </cell>
          <cell r="H174" t="str">
            <v>02</v>
          </cell>
          <cell r="I174">
            <v>62.5</v>
          </cell>
          <cell r="J174">
            <v>25.48</v>
          </cell>
          <cell r="K174">
            <v>9</v>
          </cell>
          <cell r="L174">
            <v>0</v>
          </cell>
          <cell r="M174">
            <v>0</v>
          </cell>
        </row>
        <row r="175">
          <cell r="C175" t="str">
            <v>10</v>
          </cell>
          <cell r="D175" t="str">
            <v>10</v>
          </cell>
          <cell r="E175" t="str">
            <v>ESQUADRIAS</v>
          </cell>
          <cell r="F175" t="str">
            <v>ESQUADRIAS</v>
          </cell>
          <cell r="G175">
            <v>0</v>
          </cell>
          <cell r="H175" t="str">
            <v>01</v>
          </cell>
          <cell r="I175">
            <v>0</v>
          </cell>
          <cell r="J175">
            <v>0</v>
          </cell>
          <cell r="K175">
            <v>9</v>
          </cell>
          <cell r="L175" t="str">
            <v>T</v>
          </cell>
          <cell r="M175">
            <v>0</v>
          </cell>
        </row>
        <row r="176">
          <cell r="C176" t="str">
            <v>1001</v>
          </cell>
          <cell r="D176" t="str">
            <v>10.1</v>
          </cell>
          <cell r="E176" t="str">
            <v>PORTA DE MADEIRA (1,00X2,10m) COM BANDEIRA (1,00X0,80m), INCLUSIVE FERRAGENS, CONFORME PROJETO DE ESQUADRIAS</v>
          </cell>
          <cell r="F176" t="str">
            <v>PORTA DE MADEIRA (1,00X2,10m)</v>
          </cell>
          <cell r="G176" t="str">
            <v>und</v>
          </cell>
          <cell r="H176" t="str">
            <v>03</v>
          </cell>
          <cell r="I176">
            <v>2</v>
          </cell>
          <cell r="J176">
            <v>598.76</v>
          </cell>
          <cell r="K176">
            <v>9</v>
          </cell>
          <cell r="L176">
            <v>0</v>
          </cell>
          <cell r="M176">
            <v>0</v>
          </cell>
        </row>
        <row r="177">
          <cell r="C177" t="str">
            <v>1002</v>
          </cell>
          <cell r="D177" t="str">
            <v>10.2</v>
          </cell>
          <cell r="E177" t="str">
            <v>PORTA DE MADEIRA (0,90X2,10m), INCLUSIVE FERRAGENS, CONFORME PROJETO DE ESQUADRIAS</v>
          </cell>
          <cell r="F177" t="str">
            <v>PORTA DE MADEIRA (0,90X2,10m)</v>
          </cell>
          <cell r="G177" t="str">
            <v>und</v>
          </cell>
          <cell r="H177" t="str">
            <v>03</v>
          </cell>
          <cell r="I177">
            <v>1</v>
          </cell>
          <cell r="J177">
            <v>176.63</v>
          </cell>
          <cell r="K177">
            <v>9</v>
          </cell>
          <cell r="L177">
            <v>0</v>
          </cell>
          <cell r="M177">
            <v>0</v>
          </cell>
        </row>
        <row r="178">
          <cell r="C178" t="str">
            <v>1003</v>
          </cell>
          <cell r="D178" t="str">
            <v>10.3</v>
          </cell>
          <cell r="E178" t="str">
            <v>PORTA DE MADEIRA- BANHEIROS E SANITARIOS (0,60m) COMPLETA, INCLUSIVE TARGETA METÁLICA</v>
          </cell>
          <cell r="F178" t="str">
            <v>PORTA DE MADEIRA- BANHEIROS (0,60m)</v>
          </cell>
          <cell r="G178" t="str">
            <v>und</v>
          </cell>
          <cell r="H178" t="str">
            <v>03</v>
          </cell>
          <cell r="I178">
            <v>4</v>
          </cell>
          <cell r="J178">
            <v>135.49</v>
          </cell>
          <cell r="K178">
            <v>9</v>
          </cell>
          <cell r="L178">
            <v>0</v>
          </cell>
          <cell r="M178">
            <v>0</v>
          </cell>
        </row>
        <row r="179">
          <cell r="C179" t="str">
            <v>1004</v>
          </cell>
          <cell r="D179" t="str">
            <v>10.4</v>
          </cell>
          <cell r="E179" t="str">
            <v>PORTA DE MADEIRA- BANHEIROS E SANITARIOS (0,80m) COMPLETA, INCLUSIVE TARGETA METÁLICA- WC PNE</v>
          </cell>
          <cell r="F179" t="str">
            <v>PORTA DE MADEIRA- BANHEIROS (0,80m)</v>
          </cell>
          <cell r="G179" t="str">
            <v>und</v>
          </cell>
          <cell r="H179" t="str">
            <v>03</v>
          </cell>
          <cell r="I179">
            <v>2</v>
          </cell>
          <cell r="J179">
            <v>155.66999999999999</v>
          </cell>
          <cell r="K179">
            <v>9</v>
          </cell>
          <cell r="L179">
            <v>0</v>
          </cell>
          <cell r="M179">
            <v>0</v>
          </cell>
        </row>
        <row r="180">
          <cell r="C180" t="str">
            <v>11</v>
          </cell>
          <cell r="D180" t="str">
            <v>11</v>
          </cell>
          <cell r="E180" t="str">
            <v>PINTURA</v>
          </cell>
          <cell r="F180" t="str">
            <v>PINTURA</v>
          </cell>
          <cell r="G180">
            <v>0</v>
          </cell>
          <cell r="H180" t="str">
            <v>01</v>
          </cell>
          <cell r="I180">
            <v>0</v>
          </cell>
          <cell r="J180">
            <v>0</v>
          </cell>
          <cell r="K180">
            <v>9</v>
          </cell>
          <cell r="L180" t="str">
            <v>T</v>
          </cell>
          <cell r="M180">
            <v>0</v>
          </cell>
        </row>
        <row r="181">
          <cell r="C181" t="str">
            <v>1101</v>
          </cell>
          <cell r="D181" t="str">
            <v>11.1</v>
          </cell>
          <cell r="E181" t="str">
            <v>ESMALTE SINTÉTICO EM ESTRUTURA DE AÇO CARBONO 50 MICRA COM REVÓLVER</v>
          </cell>
          <cell r="F181" t="str">
            <v>ESMALTE SINTÉTICO EM AÇO 50 MICRA</v>
          </cell>
          <cell r="G181" t="str">
            <v>m²</v>
          </cell>
          <cell r="H181" t="str">
            <v>02</v>
          </cell>
          <cell r="I181">
            <v>1114</v>
          </cell>
          <cell r="J181">
            <v>6.76</v>
          </cell>
          <cell r="K181">
            <v>9</v>
          </cell>
          <cell r="L181">
            <v>0</v>
          </cell>
          <cell r="M181">
            <v>0</v>
          </cell>
        </row>
        <row r="182">
          <cell r="C182" t="str">
            <v>1102</v>
          </cell>
          <cell r="D182" t="str">
            <v>11.2</v>
          </cell>
          <cell r="E182" t="str">
            <v>PINTURA COM PRIMER EPOXI EM ESTRUTRA DE AÇO CARBONO 25 MICRA COM REVÓLVER</v>
          </cell>
          <cell r="F182" t="str">
            <v>PINTURA PRIMER EPOXI EM AÇO 25 MICRA</v>
          </cell>
          <cell r="G182" t="str">
            <v>m²</v>
          </cell>
          <cell r="H182" t="str">
            <v>02</v>
          </cell>
          <cell r="I182">
            <v>1114</v>
          </cell>
          <cell r="J182">
            <v>4.55</v>
          </cell>
          <cell r="K182">
            <v>9</v>
          </cell>
          <cell r="L182">
            <v>0</v>
          </cell>
          <cell r="M182">
            <v>0</v>
          </cell>
        </row>
        <row r="183">
          <cell r="C183" t="str">
            <v>1103</v>
          </cell>
          <cell r="D183" t="str">
            <v>11.3</v>
          </cell>
          <cell r="E183" t="str">
            <v>PINTURA DE ACABAMENTO COM APLICAÇÃO DE 02 DEMÃOS DE TINTA ACRÍLICA</v>
          </cell>
          <cell r="F183" t="str">
            <v>PINTURA COM 02 DEMÃOS TINTA ACRÍLICA</v>
          </cell>
          <cell r="G183" t="str">
            <v>m²</v>
          </cell>
          <cell r="H183" t="str">
            <v>02</v>
          </cell>
          <cell r="I183">
            <v>847.2</v>
          </cell>
          <cell r="J183">
            <v>6.48</v>
          </cell>
          <cell r="K183">
            <v>9</v>
          </cell>
          <cell r="L183">
            <v>0</v>
          </cell>
          <cell r="M183">
            <v>0</v>
          </cell>
        </row>
        <row r="184">
          <cell r="C184" t="str">
            <v>1104</v>
          </cell>
          <cell r="D184" t="str">
            <v>11.4</v>
          </cell>
          <cell r="E184" t="str">
            <v>PINTURA DE PISO COM TINTA À BASE DE RESINA EPÓXI</v>
          </cell>
          <cell r="F184" t="str">
            <v>PINTURA DE PISO</v>
          </cell>
          <cell r="G184" t="str">
            <v>m²</v>
          </cell>
          <cell r="H184" t="str">
            <v>02</v>
          </cell>
          <cell r="I184">
            <v>480</v>
          </cell>
          <cell r="J184">
            <v>10.7</v>
          </cell>
          <cell r="K184">
            <v>9</v>
          </cell>
          <cell r="L184">
            <v>0</v>
          </cell>
          <cell r="M184">
            <v>0</v>
          </cell>
        </row>
        <row r="185">
          <cell r="C185" t="str">
            <v>1105</v>
          </cell>
          <cell r="D185" t="str">
            <v>11.5</v>
          </cell>
          <cell r="E185" t="str">
            <v>PINTURA EM TINTA PVA LATEX (02 DEMÃOS), INCLUSIVE EMASSAMENTO</v>
          </cell>
          <cell r="F185" t="str">
            <v>PINTURA PVA LATEX 02 DEMÃOS INC. MASSA</v>
          </cell>
          <cell r="G185" t="str">
            <v>m²</v>
          </cell>
          <cell r="H185" t="str">
            <v>02</v>
          </cell>
          <cell r="I185">
            <v>476</v>
          </cell>
          <cell r="J185">
            <v>10.71</v>
          </cell>
          <cell r="K185">
            <v>9</v>
          </cell>
          <cell r="L185">
            <v>0</v>
          </cell>
          <cell r="M185">
            <v>0</v>
          </cell>
        </row>
        <row r="186">
          <cell r="C186" t="str">
            <v>1106</v>
          </cell>
          <cell r="D186" t="str">
            <v>11.6</v>
          </cell>
          <cell r="E186" t="str">
            <v>DEMARCAÇÃO DE QUADRA COM TINTA ACRÍLICA</v>
          </cell>
          <cell r="F186" t="str">
            <v>DEMARCAÇÃO QUADRA TINTA ACRÍLICA</v>
          </cell>
          <cell r="G186" t="str">
            <v>m</v>
          </cell>
          <cell r="H186" t="str">
            <v>01</v>
          </cell>
          <cell r="I186">
            <v>360</v>
          </cell>
          <cell r="J186">
            <v>2.91</v>
          </cell>
          <cell r="K186">
            <v>9</v>
          </cell>
          <cell r="L186">
            <v>0</v>
          </cell>
          <cell r="M186">
            <v>0</v>
          </cell>
        </row>
        <row r="187">
          <cell r="C187" t="str">
            <v>1107</v>
          </cell>
          <cell r="D187" t="str">
            <v>11.7</v>
          </cell>
          <cell r="E187" t="str">
            <v>EMASSAMENTO DE SUPERFÍCIE, COM APLICAÇÃO DE 02 DEMÃOS DE MASSA ACRÍLICA</v>
          </cell>
          <cell r="F187" t="str">
            <v>EMASSAMENTO COM MASSA ACRÍLICA</v>
          </cell>
          <cell r="G187" t="str">
            <v>m²</v>
          </cell>
          <cell r="H187" t="str">
            <v>02</v>
          </cell>
          <cell r="I187">
            <v>88.6</v>
          </cell>
          <cell r="J187">
            <v>4.2</v>
          </cell>
          <cell r="K187">
            <v>9</v>
          </cell>
          <cell r="L187">
            <v>0</v>
          </cell>
          <cell r="M187">
            <v>0</v>
          </cell>
        </row>
        <row r="188">
          <cell r="C188" t="str">
            <v>1108</v>
          </cell>
          <cell r="D188" t="str">
            <v>11.8</v>
          </cell>
          <cell r="E188" t="str">
            <v>APLICADOR DE SELADOR ACRÍLICO</v>
          </cell>
          <cell r="F188" t="str">
            <v>APLICADOR DE SELADOR ACRÍLICO</v>
          </cell>
          <cell r="G188" t="str">
            <v>m²</v>
          </cell>
          <cell r="H188" t="str">
            <v>01</v>
          </cell>
          <cell r="I188">
            <v>847.2</v>
          </cell>
          <cell r="J188">
            <v>1.4</v>
          </cell>
          <cell r="K188">
            <v>9</v>
          </cell>
          <cell r="L188">
            <v>0</v>
          </cell>
          <cell r="M188">
            <v>0</v>
          </cell>
        </row>
        <row r="189">
          <cell r="C189" t="str">
            <v>12</v>
          </cell>
          <cell r="D189" t="str">
            <v>12</v>
          </cell>
          <cell r="E189" t="str">
            <v>DIVERSOS</v>
          </cell>
          <cell r="F189" t="str">
            <v>DIVERSOS</v>
          </cell>
          <cell r="G189">
            <v>0</v>
          </cell>
          <cell r="H189" t="str">
            <v>01</v>
          </cell>
          <cell r="I189">
            <v>0</v>
          </cell>
          <cell r="J189">
            <v>0</v>
          </cell>
          <cell r="K189">
            <v>9</v>
          </cell>
          <cell r="L189" t="str">
            <v>T</v>
          </cell>
          <cell r="M189">
            <v>0</v>
          </cell>
        </row>
        <row r="190">
          <cell r="C190" t="str">
            <v>1201</v>
          </cell>
          <cell r="D190" t="str">
            <v>12.1</v>
          </cell>
          <cell r="E190" t="str">
            <v>ALAMBRADO COM TELA DE ARAME GALVANIZADO FIO 12 BWG, MALHA 2", REVESTIDO EM PVC, FIXADA COM TUBOS DE FERRO GALVANIZADO 2"</v>
          </cell>
          <cell r="F190" t="str">
            <v>ALAMBRADO TELA DE ARAME GALV. 12 BWG</v>
          </cell>
          <cell r="G190" t="str">
            <v>m²</v>
          </cell>
          <cell r="H190" t="str">
            <v>03</v>
          </cell>
          <cell r="I190">
            <v>147</v>
          </cell>
          <cell r="J190">
            <v>53.34</v>
          </cell>
          <cell r="K190">
            <v>9</v>
          </cell>
          <cell r="L190">
            <v>0</v>
          </cell>
          <cell r="M190">
            <v>0</v>
          </cell>
        </row>
        <row r="191">
          <cell r="C191" t="str">
            <v>1202</v>
          </cell>
          <cell r="D191" t="str">
            <v>12.2</v>
          </cell>
          <cell r="E191" t="str">
            <v>PORTÃO EM TUBO DE FERRO GALVANIZADO 2" E TELA DE ARAME GALVANIZADO FIO 12BWG, MALHA 2", REVESTIDO EM PVC, INCLUSIVE DOBRADIÇAS E FECHADURA</v>
          </cell>
          <cell r="F191" t="str">
            <v>PORTÃO TUBO DE FERRO GALV. 2"</v>
          </cell>
          <cell r="G191" t="str">
            <v>und</v>
          </cell>
          <cell r="H191" t="str">
            <v>04</v>
          </cell>
          <cell r="I191">
            <v>4</v>
          </cell>
          <cell r="J191">
            <v>309.22000000000003</v>
          </cell>
          <cell r="K191">
            <v>9</v>
          </cell>
          <cell r="L191">
            <v>0</v>
          </cell>
          <cell r="M191">
            <v>0</v>
          </cell>
        </row>
        <row r="192">
          <cell r="C192" t="str">
            <v>1203</v>
          </cell>
          <cell r="D192" t="str">
            <v>12.3</v>
          </cell>
          <cell r="E192" t="str">
            <v>BANCADA EM GRANITO CINZA ANDORINHA PARA LAVATÓRIO COM ESPESSURA 2cm, LARGURA 50cm, CONFORME PROJETO</v>
          </cell>
          <cell r="F192" t="str">
            <v>BANCADA EM GRANITO CINZA ANDORINHA</v>
          </cell>
          <cell r="G192" t="str">
            <v>m</v>
          </cell>
          <cell r="H192" t="str">
            <v>03</v>
          </cell>
          <cell r="I192">
            <v>4.8</v>
          </cell>
          <cell r="J192">
            <v>180.33</v>
          </cell>
          <cell r="K192">
            <v>9</v>
          </cell>
          <cell r="L192">
            <v>0</v>
          </cell>
          <cell r="M192">
            <v>0</v>
          </cell>
        </row>
        <row r="193">
          <cell r="C193" t="str">
            <v>1204</v>
          </cell>
          <cell r="D193" t="str">
            <v>12.4</v>
          </cell>
          <cell r="E193" t="str">
            <v>BANCO DE CONCRETO ARMADO POLIDO (L=0,45m) SEM ARESTAS, CONFORME PROJETO</v>
          </cell>
          <cell r="F193" t="str">
            <v>BANCO DE CONCRETO ARMADO POLIDO</v>
          </cell>
          <cell r="G193" t="str">
            <v>m</v>
          </cell>
          <cell r="H193" t="str">
            <v>02</v>
          </cell>
          <cell r="I193">
            <v>4.8</v>
          </cell>
          <cell r="J193">
            <v>65.709999999999994</v>
          </cell>
          <cell r="K193">
            <v>9</v>
          </cell>
          <cell r="L193">
            <v>0</v>
          </cell>
          <cell r="M193">
            <v>0</v>
          </cell>
        </row>
        <row r="194">
          <cell r="C194" t="str">
            <v>1205</v>
          </cell>
          <cell r="D194" t="str">
            <v>12.5</v>
          </cell>
          <cell r="E194" t="str">
            <v>BARRA DE APOIO PARA DEFICIENTE EM FERRO GALVANIZADO DE 2", L=140cm (LAVATÓRIO), INCLUSIVE PARAFUSOS DE FIXAÇÃO E PINTURA</v>
          </cell>
          <cell r="F194" t="str">
            <v>BARRA APOIO DEFIC. GALV. 2", L=140cm</v>
          </cell>
          <cell r="G194" t="str">
            <v>und</v>
          </cell>
          <cell r="H194" t="str">
            <v>03</v>
          </cell>
          <cell r="I194">
            <v>2</v>
          </cell>
          <cell r="J194">
            <v>20.38</v>
          </cell>
          <cell r="K194">
            <v>9</v>
          </cell>
          <cell r="L194">
            <v>0</v>
          </cell>
          <cell r="M194">
            <v>0</v>
          </cell>
        </row>
        <row r="195">
          <cell r="C195" t="str">
            <v>1206</v>
          </cell>
          <cell r="D195" t="str">
            <v>12.6</v>
          </cell>
          <cell r="E195" t="str">
            <v>BARRA DE APOIO PARA DEFICIENTE EM FERRO GALVANIZADO DE 2", L=80cm (BACIA SANITÁRIA E MICTÓRIO), INCLUSIVE PARAFUSOS DE FIXAÇÃO E PINTURA</v>
          </cell>
          <cell r="F195" t="str">
            <v>BARRA APOIO DEFIC. GALV. 2", L=80cm</v>
          </cell>
          <cell r="G195" t="str">
            <v>und</v>
          </cell>
          <cell r="H195" t="str">
            <v>04</v>
          </cell>
          <cell r="I195">
            <v>8</v>
          </cell>
          <cell r="J195">
            <v>13.31</v>
          </cell>
          <cell r="K195">
            <v>9</v>
          </cell>
          <cell r="L195">
            <v>0</v>
          </cell>
          <cell r="M195">
            <v>0</v>
          </cell>
        </row>
        <row r="196">
          <cell r="C196" t="str">
            <v>1207</v>
          </cell>
          <cell r="D196" t="str">
            <v>12.7</v>
          </cell>
          <cell r="E196" t="str">
            <v>ESPELHO PLANO 4mm</v>
          </cell>
          <cell r="F196" t="str">
            <v>ESPELHO PLANO 4mm</v>
          </cell>
          <cell r="G196" t="str">
            <v>m²</v>
          </cell>
          <cell r="H196" t="str">
            <v>01</v>
          </cell>
          <cell r="I196">
            <v>4.5</v>
          </cell>
          <cell r="J196">
            <v>156.75</v>
          </cell>
          <cell r="K196">
            <v>9</v>
          </cell>
          <cell r="L196">
            <v>0</v>
          </cell>
          <cell r="M196">
            <v>0</v>
          </cell>
        </row>
        <row r="197">
          <cell r="C197" t="str">
            <v>1208</v>
          </cell>
          <cell r="D197" t="str">
            <v>12.8</v>
          </cell>
          <cell r="E197" t="str">
            <v>ESTRUTURA METÁLICA C/ TABELAS DE BASQUETE</v>
          </cell>
          <cell r="F197" t="str">
            <v>ESTRUTURA MET. C/ TABELAS DE BASQUETE</v>
          </cell>
          <cell r="G197" t="str">
            <v>cj</v>
          </cell>
          <cell r="H197" t="str">
            <v>01</v>
          </cell>
          <cell r="I197">
            <v>1</v>
          </cell>
          <cell r="J197">
            <v>560.79</v>
          </cell>
          <cell r="K197">
            <v>9</v>
          </cell>
          <cell r="L197">
            <v>0</v>
          </cell>
          <cell r="M197">
            <v>0</v>
          </cell>
        </row>
        <row r="198">
          <cell r="C198" t="str">
            <v>1209</v>
          </cell>
          <cell r="D198" t="str">
            <v>12.9</v>
          </cell>
          <cell r="E198" t="str">
            <v>ESTRUTURA METÁLICA DE TRAVES DE FUTSAL</v>
          </cell>
          <cell r="F198" t="str">
            <v>ESTRUTURA MET. DE TRAVES DE FUTSAL</v>
          </cell>
          <cell r="G198" t="str">
            <v>cj</v>
          </cell>
          <cell r="H198" t="str">
            <v>01</v>
          </cell>
          <cell r="I198">
            <v>1</v>
          </cell>
          <cell r="J198">
            <v>1020.18</v>
          </cell>
          <cell r="K198">
            <v>9</v>
          </cell>
          <cell r="L198">
            <v>0</v>
          </cell>
          <cell r="M198">
            <v>0</v>
          </cell>
        </row>
        <row r="199">
          <cell r="C199" t="str">
            <v>1210</v>
          </cell>
          <cell r="D199" t="str">
            <v>12.10</v>
          </cell>
          <cell r="E199" t="str">
            <v>ESTRUTURA METÁLICA P/ REDE DE VOLEY</v>
          </cell>
          <cell r="F199" t="str">
            <v>ESTRUTURA METÁLICA P/ REDE DE VOLEY</v>
          </cell>
          <cell r="G199" t="str">
            <v>cj</v>
          </cell>
          <cell r="H199" t="str">
            <v>01</v>
          </cell>
          <cell r="I199">
            <v>1</v>
          </cell>
          <cell r="J199">
            <v>233.18</v>
          </cell>
          <cell r="K199">
            <v>9</v>
          </cell>
          <cell r="L199">
            <v>0</v>
          </cell>
          <cell r="M199">
            <v>0</v>
          </cell>
        </row>
        <row r="200">
          <cell r="C200" t="str">
            <v>1211</v>
          </cell>
          <cell r="D200" t="str">
            <v>12.11</v>
          </cell>
          <cell r="E200" t="str">
            <v>SOLEIRA EM GRANITO CINZA ANDORINHA, L=15cm E E=2cm</v>
          </cell>
          <cell r="F200" t="str">
            <v>SOLEIRA EM GRANITO CINZA ANDORINHA</v>
          </cell>
          <cell r="G200" t="str">
            <v>m</v>
          </cell>
          <cell r="H200" t="str">
            <v>02</v>
          </cell>
          <cell r="I200">
            <v>2.9</v>
          </cell>
          <cell r="J200">
            <v>43.89</v>
          </cell>
          <cell r="K200">
            <v>9</v>
          </cell>
          <cell r="L200">
            <v>0</v>
          </cell>
          <cell r="M200">
            <v>0</v>
          </cell>
        </row>
        <row r="201">
          <cell r="C201" t="str">
            <v>1212</v>
          </cell>
          <cell r="D201" t="str">
            <v>12.12</v>
          </cell>
          <cell r="E201" t="str">
            <v>LIMPEZA GERAL</v>
          </cell>
          <cell r="F201" t="str">
            <v>LIMPEZA GERAL</v>
          </cell>
          <cell r="G201" t="str">
            <v>m²</v>
          </cell>
          <cell r="H201" t="str">
            <v>01</v>
          </cell>
          <cell r="I201">
            <v>861.56</v>
          </cell>
          <cell r="J201">
            <v>0.57999999999999996</v>
          </cell>
          <cell r="K201">
            <v>9</v>
          </cell>
          <cell r="L201">
            <v>0</v>
          </cell>
          <cell r="M201">
            <v>0</v>
          </cell>
        </row>
        <row r="202">
          <cell r="C202" t="str">
            <v>13</v>
          </cell>
          <cell r="D202" t="str">
            <v>13</v>
          </cell>
          <cell r="E202" t="str">
            <v>SERVIÇOS NÃO PREVISTOS</v>
          </cell>
          <cell r="F202" t="str">
            <v>SERVIÇOS NÃO PREVISTOS</v>
          </cell>
          <cell r="G202">
            <v>0</v>
          </cell>
          <cell r="H202" t="str">
            <v>01</v>
          </cell>
          <cell r="I202">
            <v>0</v>
          </cell>
          <cell r="J202">
            <v>0</v>
          </cell>
          <cell r="K202">
            <v>9</v>
          </cell>
          <cell r="L202" t="str">
            <v>T</v>
          </cell>
          <cell r="M202">
            <v>1</v>
          </cell>
        </row>
        <row r="203">
          <cell r="C203" t="str">
            <v>1301</v>
          </cell>
          <cell r="D203" t="str">
            <v>13.1</v>
          </cell>
          <cell r="E203" t="str">
            <v>PLACA DA OBRA - PADRÃO GOVERNO ESTADUAL</v>
          </cell>
          <cell r="F203" t="str">
            <v>PLACA DA OBRA - PADRÃO GOV. ESTADUAL</v>
          </cell>
          <cell r="G203" t="str">
            <v>m²</v>
          </cell>
          <cell r="H203" t="str">
            <v>01</v>
          </cell>
          <cell r="I203">
            <v>0</v>
          </cell>
          <cell r="J203">
            <v>0</v>
          </cell>
          <cell r="K203">
            <v>9</v>
          </cell>
          <cell r="L203">
            <v>0</v>
          </cell>
          <cell r="M203">
            <v>0</v>
          </cell>
        </row>
        <row r="204">
          <cell r="C204" t="str">
            <v>1302</v>
          </cell>
          <cell r="D204" t="str">
            <v>13.2</v>
          </cell>
          <cell r="E204" t="str">
            <v>LIMPEZA DO TERRENO</v>
          </cell>
          <cell r="F204" t="str">
            <v>LIMPEZA DO TERRENO</v>
          </cell>
          <cell r="G204" t="str">
            <v>m²</v>
          </cell>
          <cell r="H204" t="str">
            <v>01</v>
          </cell>
          <cell r="I204">
            <v>0</v>
          </cell>
          <cell r="J204">
            <v>0</v>
          </cell>
          <cell r="K204">
            <v>9</v>
          </cell>
          <cell r="L204">
            <v>0</v>
          </cell>
          <cell r="M204">
            <v>0</v>
          </cell>
        </row>
        <row r="205">
          <cell r="C205" t="str">
            <v>1303</v>
          </cell>
          <cell r="D205" t="str">
            <v>13.3</v>
          </cell>
          <cell r="E205" t="str">
            <v>CHUVEIRO ELETRICO</v>
          </cell>
          <cell r="F205" t="str">
            <v>CHUVEIRO</v>
          </cell>
          <cell r="G205" t="str">
            <v>und</v>
          </cell>
          <cell r="H205" t="str">
            <v>01</v>
          </cell>
          <cell r="I205">
            <v>0</v>
          </cell>
          <cell r="J205">
            <v>0</v>
          </cell>
          <cell r="K205">
            <v>9</v>
          </cell>
          <cell r="L205">
            <v>0</v>
          </cell>
          <cell r="M205">
            <v>0</v>
          </cell>
        </row>
        <row r="206">
          <cell r="C206" t="str">
            <v>1304</v>
          </cell>
          <cell r="D206" t="str">
            <v>13.4</v>
          </cell>
          <cell r="E206" t="str">
            <v>TUBO PVC 75mm PASSAGEM DA LAJE</v>
          </cell>
          <cell r="F206" t="str">
            <v>TUBO PVC 75mm</v>
          </cell>
          <cell r="G206" t="str">
            <v>m</v>
          </cell>
          <cell r="H206" t="str">
            <v>01</v>
          </cell>
          <cell r="I206">
            <v>0</v>
          </cell>
          <cell r="J206">
            <v>0</v>
          </cell>
          <cell r="K206">
            <v>9</v>
          </cell>
          <cell r="L206">
            <v>0</v>
          </cell>
          <cell r="M206">
            <v>0</v>
          </cell>
        </row>
        <row r="207">
          <cell r="C207">
            <v>0</v>
          </cell>
          <cell r="D207">
            <v>0</v>
          </cell>
          <cell r="E207">
            <v>0</v>
          </cell>
          <cell r="F207">
            <v>0</v>
          </cell>
          <cell r="G207">
            <v>0</v>
          </cell>
          <cell r="H207">
            <v>0</v>
          </cell>
          <cell r="I207">
            <v>0</v>
          </cell>
          <cell r="J207">
            <v>0</v>
          </cell>
          <cell r="K207">
            <v>9</v>
          </cell>
          <cell r="L207">
            <v>0</v>
          </cell>
          <cell r="M207">
            <v>0</v>
          </cell>
        </row>
        <row r="208">
          <cell r="C208">
            <v>0</v>
          </cell>
          <cell r="D208">
            <v>0</v>
          </cell>
          <cell r="E208">
            <v>0</v>
          </cell>
          <cell r="F208">
            <v>0</v>
          </cell>
          <cell r="G208">
            <v>0</v>
          </cell>
          <cell r="H208">
            <v>0</v>
          </cell>
          <cell r="I208">
            <v>0</v>
          </cell>
          <cell r="J208">
            <v>0</v>
          </cell>
          <cell r="K208">
            <v>9</v>
          </cell>
          <cell r="L208">
            <v>0</v>
          </cell>
          <cell r="M208">
            <v>0</v>
          </cell>
        </row>
        <row r="209">
          <cell r="C209">
            <v>0</v>
          </cell>
          <cell r="D209">
            <v>0</v>
          </cell>
          <cell r="E209">
            <v>0</v>
          </cell>
          <cell r="F209">
            <v>0</v>
          </cell>
          <cell r="G209">
            <v>0</v>
          </cell>
          <cell r="H209">
            <v>0</v>
          </cell>
          <cell r="I209">
            <v>0</v>
          </cell>
          <cell r="J209">
            <v>0</v>
          </cell>
          <cell r="K209">
            <v>9</v>
          </cell>
          <cell r="L209">
            <v>0</v>
          </cell>
          <cell r="M209">
            <v>0</v>
          </cell>
        </row>
        <row r="210">
          <cell r="C210">
            <v>0</v>
          </cell>
          <cell r="D210">
            <v>0</v>
          </cell>
          <cell r="E210">
            <v>0</v>
          </cell>
          <cell r="F210">
            <v>0</v>
          </cell>
          <cell r="G210">
            <v>0</v>
          </cell>
          <cell r="H210">
            <v>0</v>
          </cell>
          <cell r="I210">
            <v>0</v>
          </cell>
          <cell r="J210">
            <v>0</v>
          </cell>
          <cell r="K210">
            <v>9</v>
          </cell>
          <cell r="L210">
            <v>0</v>
          </cell>
          <cell r="M210">
            <v>0</v>
          </cell>
        </row>
        <row r="211">
          <cell r="C211">
            <v>0</v>
          </cell>
          <cell r="D211">
            <v>0</v>
          </cell>
          <cell r="E211">
            <v>0</v>
          </cell>
          <cell r="F211">
            <v>0</v>
          </cell>
          <cell r="G211">
            <v>0</v>
          </cell>
          <cell r="H211">
            <v>0</v>
          </cell>
          <cell r="I211">
            <v>0</v>
          </cell>
          <cell r="J211">
            <v>0</v>
          </cell>
          <cell r="K211">
            <v>9</v>
          </cell>
          <cell r="L211">
            <v>0</v>
          </cell>
          <cell r="M211">
            <v>0</v>
          </cell>
        </row>
        <row r="212">
          <cell r="C212">
            <v>0</v>
          </cell>
          <cell r="D212">
            <v>0</v>
          </cell>
          <cell r="E212">
            <v>0</v>
          </cell>
          <cell r="F212">
            <v>0</v>
          </cell>
          <cell r="G212">
            <v>0</v>
          </cell>
          <cell r="H212">
            <v>0</v>
          </cell>
          <cell r="I212">
            <v>0</v>
          </cell>
          <cell r="J212">
            <v>0</v>
          </cell>
          <cell r="K212">
            <v>9</v>
          </cell>
          <cell r="L212">
            <v>0</v>
          </cell>
          <cell r="M212">
            <v>0</v>
          </cell>
        </row>
        <row r="213">
          <cell r="C213">
            <v>0</v>
          </cell>
          <cell r="D213">
            <v>0</v>
          </cell>
          <cell r="E213">
            <v>0</v>
          </cell>
          <cell r="F213">
            <v>0</v>
          </cell>
          <cell r="G213">
            <v>0</v>
          </cell>
          <cell r="H213">
            <v>0</v>
          </cell>
          <cell r="I213">
            <v>0</v>
          </cell>
          <cell r="J213">
            <v>0</v>
          </cell>
          <cell r="K213">
            <v>9</v>
          </cell>
          <cell r="L213">
            <v>0</v>
          </cell>
          <cell r="M213">
            <v>0</v>
          </cell>
        </row>
        <row r="214">
          <cell r="C214">
            <v>0</v>
          </cell>
          <cell r="D214">
            <v>0</v>
          </cell>
          <cell r="E214">
            <v>0</v>
          </cell>
          <cell r="F214">
            <v>0</v>
          </cell>
          <cell r="G214">
            <v>0</v>
          </cell>
          <cell r="H214">
            <v>0</v>
          </cell>
          <cell r="I214">
            <v>0</v>
          </cell>
          <cell r="J214">
            <v>0</v>
          </cell>
          <cell r="K214">
            <v>9</v>
          </cell>
          <cell r="L214">
            <v>0</v>
          </cell>
          <cell r="M214">
            <v>0</v>
          </cell>
        </row>
        <row r="215">
          <cell r="C215">
            <v>0</v>
          </cell>
          <cell r="D215">
            <v>0</v>
          </cell>
          <cell r="E215">
            <v>0</v>
          </cell>
          <cell r="F215">
            <v>0</v>
          </cell>
          <cell r="G215">
            <v>0</v>
          </cell>
          <cell r="H215">
            <v>0</v>
          </cell>
          <cell r="I215">
            <v>0</v>
          </cell>
          <cell r="J215">
            <v>0</v>
          </cell>
          <cell r="K215">
            <v>9</v>
          </cell>
          <cell r="L215">
            <v>0</v>
          </cell>
          <cell r="M215">
            <v>0</v>
          </cell>
        </row>
        <row r="216">
          <cell r="C216">
            <v>0</v>
          </cell>
          <cell r="D216">
            <v>0</v>
          </cell>
          <cell r="E216">
            <v>0</v>
          </cell>
          <cell r="F216">
            <v>0</v>
          </cell>
          <cell r="G216">
            <v>0</v>
          </cell>
          <cell r="H216">
            <v>0</v>
          </cell>
          <cell r="I216">
            <v>0</v>
          </cell>
          <cell r="J216">
            <v>0</v>
          </cell>
          <cell r="K216">
            <v>9</v>
          </cell>
          <cell r="L216">
            <v>0</v>
          </cell>
          <cell r="M216">
            <v>0</v>
          </cell>
        </row>
        <row r="217">
          <cell r="C217">
            <v>0</v>
          </cell>
          <cell r="D217">
            <v>0</v>
          </cell>
          <cell r="E217">
            <v>0</v>
          </cell>
          <cell r="F217">
            <v>0</v>
          </cell>
          <cell r="G217">
            <v>0</v>
          </cell>
          <cell r="H217">
            <v>0</v>
          </cell>
          <cell r="I217">
            <v>0</v>
          </cell>
          <cell r="J217">
            <v>0</v>
          </cell>
          <cell r="K217">
            <v>9</v>
          </cell>
          <cell r="L217">
            <v>0</v>
          </cell>
          <cell r="M217">
            <v>0</v>
          </cell>
        </row>
        <row r="218">
          <cell r="C218">
            <v>0</v>
          </cell>
          <cell r="D218">
            <v>0</v>
          </cell>
          <cell r="E218">
            <v>0</v>
          </cell>
          <cell r="F218">
            <v>0</v>
          </cell>
          <cell r="G218">
            <v>0</v>
          </cell>
          <cell r="H218">
            <v>0</v>
          </cell>
          <cell r="I218">
            <v>0</v>
          </cell>
          <cell r="J218">
            <v>0</v>
          </cell>
          <cell r="K218">
            <v>9</v>
          </cell>
          <cell r="L218">
            <v>0</v>
          </cell>
          <cell r="M218">
            <v>0</v>
          </cell>
        </row>
        <row r="219">
          <cell r="C219">
            <v>0</v>
          </cell>
          <cell r="D219">
            <v>0</v>
          </cell>
          <cell r="E219">
            <v>0</v>
          </cell>
          <cell r="F219">
            <v>0</v>
          </cell>
          <cell r="G219">
            <v>0</v>
          </cell>
          <cell r="H219">
            <v>0</v>
          </cell>
          <cell r="I219">
            <v>0</v>
          </cell>
          <cell r="J219">
            <v>0</v>
          </cell>
          <cell r="K219">
            <v>9</v>
          </cell>
          <cell r="L219">
            <v>0</v>
          </cell>
          <cell r="M219">
            <v>0</v>
          </cell>
        </row>
        <row r="220">
          <cell r="C220">
            <v>0</v>
          </cell>
          <cell r="D220">
            <v>0</v>
          </cell>
          <cell r="E220">
            <v>0</v>
          </cell>
          <cell r="F220">
            <v>0</v>
          </cell>
          <cell r="G220">
            <v>0</v>
          </cell>
          <cell r="H220">
            <v>0</v>
          </cell>
          <cell r="I220">
            <v>0</v>
          </cell>
          <cell r="J220">
            <v>0</v>
          </cell>
          <cell r="K220">
            <v>9</v>
          </cell>
          <cell r="L220">
            <v>0</v>
          </cell>
          <cell r="M220">
            <v>0</v>
          </cell>
        </row>
        <row r="221">
          <cell r="C221">
            <v>0</v>
          </cell>
          <cell r="D221">
            <v>0</v>
          </cell>
          <cell r="E221">
            <v>0</v>
          </cell>
          <cell r="F221">
            <v>0</v>
          </cell>
          <cell r="G221">
            <v>0</v>
          </cell>
          <cell r="H221">
            <v>0</v>
          </cell>
          <cell r="I221">
            <v>0</v>
          </cell>
          <cell r="J221">
            <v>0</v>
          </cell>
          <cell r="K221">
            <v>9</v>
          </cell>
          <cell r="L221">
            <v>0</v>
          </cell>
          <cell r="M221">
            <v>0</v>
          </cell>
        </row>
        <row r="222">
          <cell r="C222">
            <v>0</v>
          </cell>
          <cell r="D222">
            <v>0</v>
          </cell>
          <cell r="E222">
            <v>0</v>
          </cell>
          <cell r="F222">
            <v>0</v>
          </cell>
          <cell r="G222">
            <v>0</v>
          </cell>
          <cell r="H222">
            <v>0</v>
          </cell>
          <cell r="I222">
            <v>0</v>
          </cell>
          <cell r="J222">
            <v>0</v>
          </cell>
          <cell r="K222">
            <v>9</v>
          </cell>
          <cell r="L222">
            <v>0</v>
          </cell>
          <cell r="M222">
            <v>0</v>
          </cell>
        </row>
        <row r="223">
          <cell r="C223">
            <v>0</v>
          </cell>
          <cell r="D223">
            <v>0</v>
          </cell>
          <cell r="E223">
            <v>0</v>
          </cell>
          <cell r="F223">
            <v>0</v>
          </cell>
          <cell r="G223">
            <v>0</v>
          </cell>
          <cell r="H223">
            <v>0</v>
          </cell>
          <cell r="I223">
            <v>0</v>
          </cell>
          <cell r="J223">
            <v>0</v>
          </cell>
          <cell r="K223">
            <v>9</v>
          </cell>
          <cell r="L223">
            <v>0</v>
          </cell>
          <cell r="M223">
            <v>0</v>
          </cell>
        </row>
        <row r="224">
          <cell r="C224">
            <v>0</v>
          </cell>
          <cell r="D224">
            <v>0</v>
          </cell>
          <cell r="E224">
            <v>0</v>
          </cell>
          <cell r="F224">
            <v>0</v>
          </cell>
          <cell r="G224">
            <v>0</v>
          </cell>
          <cell r="H224">
            <v>0</v>
          </cell>
          <cell r="I224">
            <v>0</v>
          </cell>
          <cell r="J224">
            <v>0</v>
          </cell>
          <cell r="K224">
            <v>9</v>
          </cell>
          <cell r="L224">
            <v>0</v>
          </cell>
          <cell r="M224">
            <v>0</v>
          </cell>
        </row>
        <row r="225">
          <cell r="C225">
            <v>0</v>
          </cell>
          <cell r="D225">
            <v>0</v>
          </cell>
          <cell r="E225">
            <v>0</v>
          </cell>
          <cell r="F225">
            <v>0</v>
          </cell>
          <cell r="G225">
            <v>0</v>
          </cell>
          <cell r="H225">
            <v>0</v>
          </cell>
          <cell r="I225">
            <v>0</v>
          </cell>
          <cell r="J225">
            <v>0</v>
          </cell>
          <cell r="K225">
            <v>9</v>
          </cell>
          <cell r="L225">
            <v>0</v>
          </cell>
          <cell r="M225">
            <v>0</v>
          </cell>
        </row>
        <row r="226">
          <cell r="C226">
            <v>0</v>
          </cell>
          <cell r="D226">
            <v>0</v>
          </cell>
          <cell r="E226">
            <v>0</v>
          </cell>
          <cell r="F226">
            <v>0</v>
          </cell>
          <cell r="G226">
            <v>0</v>
          </cell>
          <cell r="H226">
            <v>0</v>
          </cell>
          <cell r="I226">
            <v>0</v>
          </cell>
          <cell r="J226">
            <v>0</v>
          </cell>
          <cell r="K226">
            <v>9</v>
          </cell>
          <cell r="L226">
            <v>0</v>
          </cell>
          <cell r="M226">
            <v>0</v>
          </cell>
        </row>
        <row r="227">
          <cell r="C227">
            <v>0</v>
          </cell>
          <cell r="D227">
            <v>0</v>
          </cell>
          <cell r="E227">
            <v>0</v>
          </cell>
          <cell r="F227">
            <v>0</v>
          </cell>
          <cell r="G227">
            <v>0</v>
          </cell>
          <cell r="H227">
            <v>0</v>
          </cell>
          <cell r="I227">
            <v>0</v>
          </cell>
          <cell r="J227">
            <v>0</v>
          </cell>
          <cell r="K227">
            <v>9</v>
          </cell>
          <cell r="L227">
            <v>0</v>
          </cell>
          <cell r="M227">
            <v>0</v>
          </cell>
        </row>
        <row r="228">
          <cell r="C228">
            <v>0</v>
          </cell>
          <cell r="D228">
            <v>0</v>
          </cell>
          <cell r="E228">
            <v>0</v>
          </cell>
          <cell r="F228">
            <v>0</v>
          </cell>
          <cell r="G228">
            <v>0</v>
          </cell>
          <cell r="H228">
            <v>0</v>
          </cell>
          <cell r="I228">
            <v>0</v>
          </cell>
          <cell r="J228">
            <v>0</v>
          </cell>
          <cell r="K228">
            <v>9</v>
          </cell>
          <cell r="L228">
            <v>0</v>
          </cell>
          <cell r="M228">
            <v>0</v>
          </cell>
        </row>
        <row r="229">
          <cell r="C229">
            <v>0</v>
          </cell>
          <cell r="D229">
            <v>0</v>
          </cell>
          <cell r="E229">
            <v>0</v>
          </cell>
          <cell r="F229">
            <v>0</v>
          </cell>
          <cell r="G229">
            <v>0</v>
          </cell>
          <cell r="H229">
            <v>0</v>
          </cell>
          <cell r="I229">
            <v>0</v>
          </cell>
          <cell r="J229">
            <v>0</v>
          </cell>
          <cell r="K229">
            <v>9</v>
          </cell>
          <cell r="L229">
            <v>0</v>
          </cell>
          <cell r="M229">
            <v>0</v>
          </cell>
        </row>
        <row r="230">
          <cell r="C230">
            <v>0</v>
          </cell>
          <cell r="D230">
            <v>0</v>
          </cell>
          <cell r="E230">
            <v>0</v>
          </cell>
          <cell r="F230">
            <v>0</v>
          </cell>
          <cell r="G230">
            <v>0</v>
          </cell>
          <cell r="H230">
            <v>0</v>
          </cell>
          <cell r="I230">
            <v>0</v>
          </cell>
          <cell r="J230">
            <v>0</v>
          </cell>
          <cell r="K230">
            <v>9</v>
          </cell>
          <cell r="L230">
            <v>0</v>
          </cell>
          <cell r="M230">
            <v>0</v>
          </cell>
        </row>
        <row r="231">
          <cell r="C231">
            <v>0</v>
          </cell>
          <cell r="D231">
            <v>0</v>
          </cell>
          <cell r="E231">
            <v>0</v>
          </cell>
          <cell r="F231">
            <v>0</v>
          </cell>
          <cell r="G231">
            <v>0</v>
          </cell>
          <cell r="H231">
            <v>0</v>
          </cell>
          <cell r="I231">
            <v>0</v>
          </cell>
          <cell r="J231">
            <v>0</v>
          </cell>
          <cell r="K231">
            <v>9</v>
          </cell>
          <cell r="L231">
            <v>0</v>
          </cell>
          <cell r="M231">
            <v>0</v>
          </cell>
        </row>
        <row r="232">
          <cell r="C232">
            <v>0</v>
          </cell>
          <cell r="D232">
            <v>0</v>
          </cell>
          <cell r="E232">
            <v>0</v>
          </cell>
          <cell r="F232">
            <v>0</v>
          </cell>
          <cell r="G232">
            <v>0</v>
          </cell>
          <cell r="H232">
            <v>0</v>
          </cell>
          <cell r="I232">
            <v>0</v>
          </cell>
          <cell r="J232">
            <v>0</v>
          </cell>
          <cell r="K232">
            <v>9</v>
          </cell>
          <cell r="L232">
            <v>0</v>
          </cell>
          <cell r="M232">
            <v>0</v>
          </cell>
        </row>
        <row r="233">
          <cell r="C233">
            <v>0</v>
          </cell>
          <cell r="D233">
            <v>0</v>
          </cell>
          <cell r="E233">
            <v>0</v>
          </cell>
          <cell r="F233">
            <v>0</v>
          </cell>
          <cell r="G233">
            <v>0</v>
          </cell>
          <cell r="H233">
            <v>0</v>
          </cell>
          <cell r="I233">
            <v>0</v>
          </cell>
          <cell r="J233">
            <v>0</v>
          </cell>
          <cell r="K233">
            <v>9</v>
          </cell>
          <cell r="L233">
            <v>0</v>
          </cell>
          <cell r="M233">
            <v>0</v>
          </cell>
        </row>
        <row r="234">
          <cell r="C234">
            <v>0</v>
          </cell>
          <cell r="D234">
            <v>0</v>
          </cell>
          <cell r="E234">
            <v>0</v>
          </cell>
          <cell r="F234">
            <v>0</v>
          </cell>
          <cell r="G234">
            <v>0</v>
          </cell>
          <cell r="H234">
            <v>0</v>
          </cell>
          <cell r="I234">
            <v>0</v>
          </cell>
          <cell r="J234">
            <v>0</v>
          </cell>
          <cell r="K234">
            <v>9</v>
          </cell>
          <cell r="L234">
            <v>0</v>
          </cell>
          <cell r="M234">
            <v>0</v>
          </cell>
        </row>
        <row r="235">
          <cell r="C235">
            <v>0</v>
          </cell>
          <cell r="D235">
            <v>0</v>
          </cell>
          <cell r="E235">
            <v>0</v>
          </cell>
          <cell r="F235">
            <v>0</v>
          </cell>
          <cell r="G235">
            <v>0</v>
          </cell>
          <cell r="H235">
            <v>0</v>
          </cell>
          <cell r="I235">
            <v>0</v>
          </cell>
          <cell r="J235">
            <v>0</v>
          </cell>
          <cell r="K235">
            <v>9</v>
          </cell>
          <cell r="L235">
            <v>0</v>
          </cell>
          <cell r="M235">
            <v>0</v>
          </cell>
        </row>
        <row r="236">
          <cell r="C236">
            <v>0</v>
          </cell>
          <cell r="D236">
            <v>0</v>
          </cell>
          <cell r="E236">
            <v>0</v>
          </cell>
          <cell r="F236">
            <v>0</v>
          </cell>
          <cell r="G236">
            <v>0</v>
          </cell>
          <cell r="H236">
            <v>0</v>
          </cell>
          <cell r="I236">
            <v>0</v>
          </cell>
          <cell r="J236">
            <v>0</v>
          </cell>
          <cell r="K236">
            <v>9</v>
          </cell>
          <cell r="L236">
            <v>0</v>
          </cell>
          <cell r="M236">
            <v>0</v>
          </cell>
        </row>
        <row r="237">
          <cell r="C237">
            <v>0</v>
          </cell>
          <cell r="D237">
            <v>0</v>
          </cell>
          <cell r="E237">
            <v>0</v>
          </cell>
          <cell r="F237">
            <v>0</v>
          </cell>
          <cell r="G237">
            <v>0</v>
          </cell>
          <cell r="H237">
            <v>0</v>
          </cell>
          <cell r="I237">
            <v>0</v>
          </cell>
          <cell r="J237">
            <v>0</v>
          </cell>
          <cell r="K237">
            <v>9</v>
          </cell>
          <cell r="L237">
            <v>0</v>
          </cell>
          <cell r="M237">
            <v>0</v>
          </cell>
        </row>
        <row r="238">
          <cell r="C238">
            <v>0</v>
          </cell>
          <cell r="D238">
            <v>0</v>
          </cell>
          <cell r="E238">
            <v>0</v>
          </cell>
          <cell r="F238">
            <v>0</v>
          </cell>
          <cell r="G238">
            <v>0</v>
          </cell>
          <cell r="H238">
            <v>0</v>
          </cell>
          <cell r="I238">
            <v>0</v>
          </cell>
          <cell r="J238">
            <v>0</v>
          </cell>
          <cell r="K238">
            <v>9</v>
          </cell>
          <cell r="L238">
            <v>0</v>
          </cell>
          <cell r="M238">
            <v>0</v>
          </cell>
        </row>
        <row r="239">
          <cell r="C239">
            <v>0</v>
          </cell>
          <cell r="D239">
            <v>0</v>
          </cell>
          <cell r="E239">
            <v>0</v>
          </cell>
          <cell r="F239">
            <v>0</v>
          </cell>
          <cell r="G239">
            <v>0</v>
          </cell>
          <cell r="H239">
            <v>0</v>
          </cell>
          <cell r="I239">
            <v>0</v>
          </cell>
          <cell r="J239">
            <v>0</v>
          </cell>
          <cell r="K239">
            <v>9</v>
          </cell>
          <cell r="L239">
            <v>0</v>
          </cell>
          <cell r="M239">
            <v>0</v>
          </cell>
        </row>
        <row r="240">
          <cell r="C240">
            <v>0</v>
          </cell>
          <cell r="D240">
            <v>0</v>
          </cell>
          <cell r="E240">
            <v>0</v>
          </cell>
          <cell r="F240">
            <v>0</v>
          </cell>
          <cell r="G240">
            <v>0</v>
          </cell>
          <cell r="H240">
            <v>0</v>
          </cell>
          <cell r="I240">
            <v>0</v>
          </cell>
          <cell r="J240">
            <v>0</v>
          </cell>
          <cell r="K240">
            <v>9</v>
          </cell>
          <cell r="L240">
            <v>0</v>
          </cell>
          <cell r="M240">
            <v>0</v>
          </cell>
        </row>
        <row r="241">
          <cell r="C241">
            <v>0</v>
          </cell>
          <cell r="D241">
            <v>0</v>
          </cell>
          <cell r="E241">
            <v>0</v>
          </cell>
          <cell r="F241">
            <v>0</v>
          </cell>
          <cell r="G241">
            <v>0</v>
          </cell>
          <cell r="H241">
            <v>0</v>
          </cell>
          <cell r="I241">
            <v>0</v>
          </cell>
          <cell r="J241">
            <v>0</v>
          </cell>
          <cell r="K241">
            <v>9</v>
          </cell>
          <cell r="L241">
            <v>0</v>
          </cell>
          <cell r="M241">
            <v>0</v>
          </cell>
        </row>
        <row r="242">
          <cell r="C242">
            <v>0</v>
          </cell>
          <cell r="D242">
            <v>0</v>
          </cell>
          <cell r="E242">
            <v>0</v>
          </cell>
          <cell r="F242">
            <v>0</v>
          </cell>
          <cell r="G242">
            <v>0</v>
          </cell>
          <cell r="H242">
            <v>0</v>
          </cell>
          <cell r="I242">
            <v>0</v>
          </cell>
          <cell r="J242">
            <v>0</v>
          </cell>
          <cell r="K242">
            <v>9</v>
          </cell>
          <cell r="L242">
            <v>0</v>
          </cell>
          <cell r="M242">
            <v>0</v>
          </cell>
        </row>
        <row r="243">
          <cell r="C243">
            <v>0</v>
          </cell>
          <cell r="D243">
            <v>0</v>
          </cell>
          <cell r="E243">
            <v>0</v>
          </cell>
          <cell r="F243">
            <v>0</v>
          </cell>
          <cell r="G243">
            <v>0</v>
          </cell>
          <cell r="H243">
            <v>0</v>
          </cell>
          <cell r="I243">
            <v>0</v>
          </cell>
          <cell r="J243">
            <v>0</v>
          </cell>
          <cell r="K243">
            <v>9</v>
          </cell>
          <cell r="L243">
            <v>0</v>
          </cell>
          <cell r="M243">
            <v>0</v>
          </cell>
        </row>
        <row r="244">
          <cell r="C244">
            <v>0</v>
          </cell>
          <cell r="D244">
            <v>0</v>
          </cell>
          <cell r="E244">
            <v>0</v>
          </cell>
          <cell r="F244">
            <v>0</v>
          </cell>
          <cell r="G244">
            <v>0</v>
          </cell>
          <cell r="H244">
            <v>0</v>
          </cell>
          <cell r="I244">
            <v>0</v>
          </cell>
          <cell r="J244">
            <v>0</v>
          </cell>
          <cell r="K244">
            <v>9</v>
          </cell>
          <cell r="L244">
            <v>0</v>
          </cell>
          <cell r="M244">
            <v>0</v>
          </cell>
        </row>
        <row r="245">
          <cell r="C245">
            <v>0</v>
          </cell>
          <cell r="D245">
            <v>0</v>
          </cell>
          <cell r="E245">
            <v>0</v>
          </cell>
          <cell r="F245">
            <v>0</v>
          </cell>
          <cell r="G245">
            <v>0</v>
          </cell>
          <cell r="H245">
            <v>0</v>
          </cell>
          <cell r="I245">
            <v>0</v>
          </cell>
          <cell r="J245">
            <v>0</v>
          </cell>
          <cell r="K245">
            <v>9</v>
          </cell>
          <cell r="L245">
            <v>0</v>
          </cell>
          <cell r="M245">
            <v>0</v>
          </cell>
        </row>
        <row r="246">
          <cell r="C246">
            <v>0</v>
          </cell>
          <cell r="D246">
            <v>0</v>
          </cell>
          <cell r="E246">
            <v>0</v>
          </cell>
          <cell r="F246">
            <v>0</v>
          </cell>
          <cell r="G246">
            <v>0</v>
          </cell>
          <cell r="H246">
            <v>0</v>
          </cell>
          <cell r="I246">
            <v>0</v>
          </cell>
          <cell r="J246">
            <v>0</v>
          </cell>
          <cell r="K246">
            <v>9</v>
          </cell>
          <cell r="L246">
            <v>0</v>
          </cell>
          <cell r="M246">
            <v>0</v>
          </cell>
        </row>
        <row r="247">
          <cell r="C247">
            <v>0</v>
          </cell>
          <cell r="D247">
            <v>0</v>
          </cell>
          <cell r="E247">
            <v>0</v>
          </cell>
          <cell r="F247">
            <v>0</v>
          </cell>
          <cell r="G247">
            <v>0</v>
          </cell>
          <cell r="H247">
            <v>0</v>
          </cell>
          <cell r="I247">
            <v>0</v>
          </cell>
          <cell r="J247">
            <v>0</v>
          </cell>
          <cell r="K247">
            <v>9</v>
          </cell>
          <cell r="L247">
            <v>0</v>
          </cell>
          <cell r="M247">
            <v>0</v>
          </cell>
        </row>
        <row r="248">
          <cell r="C248">
            <v>0</v>
          </cell>
          <cell r="D248">
            <v>0</v>
          </cell>
          <cell r="E248">
            <v>0</v>
          </cell>
          <cell r="F248">
            <v>0</v>
          </cell>
          <cell r="G248">
            <v>0</v>
          </cell>
          <cell r="H248">
            <v>0</v>
          </cell>
          <cell r="I248">
            <v>0</v>
          </cell>
          <cell r="J248">
            <v>0</v>
          </cell>
          <cell r="K248">
            <v>9</v>
          </cell>
          <cell r="L248">
            <v>0</v>
          </cell>
          <cell r="M248">
            <v>0</v>
          </cell>
        </row>
        <row r="249">
          <cell r="C249">
            <v>0</v>
          </cell>
          <cell r="D249">
            <v>0</v>
          </cell>
          <cell r="E249">
            <v>0</v>
          </cell>
          <cell r="F249">
            <v>0</v>
          </cell>
          <cell r="G249">
            <v>0</v>
          </cell>
          <cell r="H249">
            <v>0</v>
          </cell>
          <cell r="I249">
            <v>0</v>
          </cell>
          <cell r="J249">
            <v>0</v>
          </cell>
          <cell r="K249">
            <v>9</v>
          </cell>
          <cell r="L249">
            <v>0</v>
          </cell>
          <cell r="M249">
            <v>0</v>
          </cell>
        </row>
        <row r="250">
          <cell r="C250">
            <v>0</v>
          </cell>
          <cell r="D250">
            <v>0</v>
          </cell>
          <cell r="E250">
            <v>0</v>
          </cell>
          <cell r="F250">
            <v>0</v>
          </cell>
          <cell r="G250">
            <v>0</v>
          </cell>
          <cell r="H250">
            <v>0</v>
          </cell>
          <cell r="I250">
            <v>0</v>
          </cell>
          <cell r="J250">
            <v>0</v>
          </cell>
          <cell r="K250">
            <v>9</v>
          </cell>
          <cell r="L250">
            <v>0</v>
          </cell>
          <cell r="M250">
            <v>0</v>
          </cell>
        </row>
        <row r="251">
          <cell r="C251">
            <v>0</v>
          </cell>
          <cell r="D251">
            <v>0</v>
          </cell>
          <cell r="E251">
            <v>0</v>
          </cell>
          <cell r="F251">
            <v>0</v>
          </cell>
          <cell r="G251">
            <v>0</v>
          </cell>
          <cell r="H251">
            <v>0</v>
          </cell>
          <cell r="I251">
            <v>0</v>
          </cell>
          <cell r="J251">
            <v>0</v>
          </cell>
          <cell r="K251">
            <v>9</v>
          </cell>
          <cell r="L251">
            <v>0</v>
          </cell>
          <cell r="M251">
            <v>0</v>
          </cell>
        </row>
        <row r="252">
          <cell r="C252">
            <v>0</v>
          </cell>
          <cell r="D252">
            <v>0</v>
          </cell>
          <cell r="E252">
            <v>0</v>
          </cell>
          <cell r="F252">
            <v>0</v>
          </cell>
          <cell r="G252">
            <v>0</v>
          </cell>
          <cell r="H252">
            <v>0</v>
          </cell>
          <cell r="I252">
            <v>0</v>
          </cell>
          <cell r="J252">
            <v>0</v>
          </cell>
          <cell r="K252">
            <v>9</v>
          </cell>
          <cell r="L252">
            <v>0</v>
          </cell>
          <cell r="M252">
            <v>0</v>
          </cell>
        </row>
        <row r="253">
          <cell r="C253">
            <v>0</v>
          </cell>
          <cell r="D253">
            <v>0</v>
          </cell>
          <cell r="E253">
            <v>0</v>
          </cell>
          <cell r="F253">
            <v>0</v>
          </cell>
          <cell r="G253">
            <v>0</v>
          </cell>
          <cell r="H253">
            <v>0</v>
          </cell>
          <cell r="I253">
            <v>0</v>
          </cell>
          <cell r="J253">
            <v>0</v>
          </cell>
          <cell r="K253">
            <v>9</v>
          </cell>
          <cell r="L253">
            <v>0</v>
          </cell>
          <cell r="M253">
            <v>0</v>
          </cell>
        </row>
        <row r="254">
          <cell r="C254">
            <v>0</v>
          </cell>
          <cell r="D254">
            <v>0</v>
          </cell>
          <cell r="E254">
            <v>0</v>
          </cell>
          <cell r="F254">
            <v>0</v>
          </cell>
          <cell r="G254">
            <v>0</v>
          </cell>
          <cell r="H254">
            <v>0</v>
          </cell>
          <cell r="I254">
            <v>0</v>
          </cell>
          <cell r="J254">
            <v>0</v>
          </cell>
          <cell r="K254">
            <v>9</v>
          </cell>
          <cell r="L254">
            <v>0</v>
          </cell>
          <cell r="M254">
            <v>0</v>
          </cell>
        </row>
        <row r="255">
          <cell r="C255">
            <v>0</v>
          </cell>
          <cell r="D255">
            <v>0</v>
          </cell>
          <cell r="E255">
            <v>0</v>
          </cell>
          <cell r="F255">
            <v>0</v>
          </cell>
          <cell r="G255">
            <v>0</v>
          </cell>
          <cell r="H255">
            <v>0</v>
          </cell>
          <cell r="I255">
            <v>0</v>
          </cell>
          <cell r="J255">
            <v>0</v>
          </cell>
          <cell r="K255">
            <v>9</v>
          </cell>
          <cell r="L255">
            <v>0</v>
          </cell>
          <cell r="M255">
            <v>0</v>
          </cell>
        </row>
        <row r="256">
          <cell r="C256">
            <v>0</v>
          </cell>
          <cell r="D256">
            <v>0</v>
          </cell>
          <cell r="E256">
            <v>0</v>
          </cell>
          <cell r="F256">
            <v>0</v>
          </cell>
          <cell r="G256">
            <v>0</v>
          </cell>
          <cell r="H256">
            <v>0</v>
          </cell>
          <cell r="I256">
            <v>0</v>
          </cell>
          <cell r="J256">
            <v>0</v>
          </cell>
          <cell r="K256">
            <v>9</v>
          </cell>
          <cell r="L256">
            <v>0</v>
          </cell>
          <cell r="M256">
            <v>0</v>
          </cell>
        </row>
        <row r="257">
          <cell r="C257">
            <v>0</v>
          </cell>
          <cell r="D257">
            <v>0</v>
          </cell>
          <cell r="E257">
            <v>0</v>
          </cell>
          <cell r="F257">
            <v>0</v>
          </cell>
          <cell r="G257">
            <v>0</v>
          </cell>
          <cell r="H257">
            <v>0</v>
          </cell>
          <cell r="I257">
            <v>0</v>
          </cell>
          <cell r="J257">
            <v>0</v>
          </cell>
          <cell r="K257">
            <v>9</v>
          </cell>
          <cell r="L257">
            <v>0</v>
          </cell>
          <cell r="M257">
            <v>0</v>
          </cell>
        </row>
        <row r="258">
          <cell r="C258">
            <v>0</v>
          </cell>
          <cell r="D258">
            <v>0</v>
          </cell>
          <cell r="E258">
            <v>0</v>
          </cell>
          <cell r="F258">
            <v>0</v>
          </cell>
          <cell r="G258">
            <v>0</v>
          </cell>
          <cell r="H258">
            <v>0</v>
          </cell>
          <cell r="I258">
            <v>0</v>
          </cell>
          <cell r="J258">
            <v>0</v>
          </cell>
          <cell r="K258">
            <v>9</v>
          </cell>
          <cell r="L258">
            <v>0</v>
          </cell>
          <cell r="M258">
            <v>0</v>
          </cell>
        </row>
        <row r="259">
          <cell r="C259">
            <v>0</v>
          </cell>
          <cell r="D259">
            <v>0</v>
          </cell>
          <cell r="E259">
            <v>0</v>
          </cell>
          <cell r="F259">
            <v>0</v>
          </cell>
          <cell r="G259">
            <v>0</v>
          </cell>
          <cell r="H259">
            <v>0</v>
          </cell>
          <cell r="I259">
            <v>0</v>
          </cell>
          <cell r="J259">
            <v>0</v>
          </cell>
          <cell r="K259">
            <v>9</v>
          </cell>
          <cell r="L259">
            <v>0</v>
          </cell>
          <cell r="M259">
            <v>0</v>
          </cell>
        </row>
        <row r="260">
          <cell r="C260">
            <v>0</v>
          </cell>
          <cell r="D260">
            <v>0</v>
          </cell>
          <cell r="E260">
            <v>0</v>
          </cell>
          <cell r="F260">
            <v>0</v>
          </cell>
          <cell r="G260">
            <v>0</v>
          </cell>
          <cell r="H260">
            <v>0</v>
          </cell>
          <cell r="I260">
            <v>0</v>
          </cell>
          <cell r="J260">
            <v>0</v>
          </cell>
          <cell r="K260">
            <v>9</v>
          </cell>
          <cell r="L260">
            <v>0</v>
          </cell>
          <cell r="M260">
            <v>0</v>
          </cell>
        </row>
        <row r="261">
          <cell r="C261">
            <v>0</v>
          </cell>
          <cell r="D261">
            <v>0</v>
          </cell>
          <cell r="E261">
            <v>0</v>
          </cell>
          <cell r="F261">
            <v>0</v>
          </cell>
          <cell r="G261">
            <v>0</v>
          </cell>
          <cell r="H261">
            <v>0</v>
          </cell>
          <cell r="I261">
            <v>0</v>
          </cell>
          <cell r="J261">
            <v>0</v>
          </cell>
          <cell r="K261">
            <v>9</v>
          </cell>
          <cell r="L261">
            <v>0</v>
          </cell>
          <cell r="M261">
            <v>0</v>
          </cell>
        </row>
        <row r="262">
          <cell r="C262">
            <v>0</v>
          </cell>
          <cell r="D262">
            <v>0</v>
          </cell>
          <cell r="E262">
            <v>0</v>
          </cell>
          <cell r="F262">
            <v>0</v>
          </cell>
          <cell r="G262">
            <v>0</v>
          </cell>
          <cell r="H262">
            <v>0</v>
          </cell>
          <cell r="I262">
            <v>0</v>
          </cell>
          <cell r="J262">
            <v>0</v>
          </cell>
          <cell r="K262">
            <v>9</v>
          </cell>
          <cell r="L262">
            <v>0</v>
          </cell>
          <cell r="M262">
            <v>0</v>
          </cell>
        </row>
        <row r="263">
          <cell r="C263">
            <v>0</v>
          </cell>
          <cell r="D263">
            <v>0</v>
          </cell>
          <cell r="E263">
            <v>0</v>
          </cell>
          <cell r="F263">
            <v>0</v>
          </cell>
          <cell r="G263">
            <v>0</v>
          </cell>
          <cell r="H263">
            <v>0</v>
          </cell>
          <cell r="I263">
            <v>0</v>
          </cell>
          <cell r="J263">
            <v>0</v>
          </cell>
          <cell r="K263">
            <v>9</v>
          </cell>
          <cell r="L263">
            <v>0</v>
          </cell>
          <cell r="M263">
            <v>0</v>
          </cell>
        </row>
        <row r="264">
          <cell r="C264">
            <v>0</v>
          </cell>
          <cell r="D264">
            <v>0</v>
          </cell>
          <cell r="E264">
            <v>0</v>
          </cell>
          <cell r="F264">
            <v>0</v>
          </cell>
          <cell r="G264">
            <v>0</v>
          </cell>
          <cell r="H264">
            <v>0</v>
          </cell>
          <cell r="I264">
            <v>0</v>
          </cell>
          <cell r="J264">
            <v>0</v>
          </cell>
          <cell r="K264">
            <v>9</v>
          </cell>
          <cell r="L264">
            <v>0</v>
          </cell>
          <cell r="M264">
            <v>0</v>
          </cell>
        </row>
        <row r="265">
          <cell r="C265">
            <v>0</v>
          </cell>
          <cell r="D265">
            <v>0</v>
          </cell>
          <cell r="E265">
            <v>0</v>
          </cell>
          <cell r="F265">
            <v>0</v>
          </cell>
          <cell r="G265">
            <v>0</v>
          </cell>
          <cell r="H265">
            <v>0</v>
          </cell>
          <cell r="I265">
            <v>0</v>
          </cell>
          <cell r="J265">
            <v>0</v>
          </cell>
          <cell r="K265">
            <v>9</v>
          </cell>
          <cell r="L265">
            <v>0</v>
          </cell>
          <cell r="M265">
            <v>0</v>
          </cell>
        </row>
        <row r="266">
          <cell r="C266">
            <v>0</v>
          </cell>
          <cell r="D266">
            <v>0</v>
          </cell>
          <cell r="E266">
            <v>0</v>
          </cell>
          <cell r="F266">
            <v>0</v>
          </cell>
          <cell r="G266">
            <v>0</v>
          </cell>
          <cell r="H266">
            <v>0</v>
          </cell>
          <cell r="I266">
            <v>0</v>
          </cell>
          <cell r="J266">
            <v>0</v>
          </cell>
          <cell r="K266">
            <v>9</v>
          </cell>
          <cell r="L266">
            <v>0</v>
          </cell>
          <cell r="M266">
            <v>0</v>
          </cell>
        </row>
        <row r="267">
          <cell r="C267">
            <v>0</v>
          </cell>
          <cell r="D267">
            <v>0</v>
          </cell>
          <cell r="E267">
            <v>0</v>
          </cell>
          <cell r="F267">
            <v>0</v>
          </cell>
          <cell r="G267">
            <v>0</v>
          </cell>
          <cell r="H267">
            <v>0</v>
          </cell>
          <cell r="I267">
            <v>0</v>
          </cell>
          <cell r="J267">
            <v>0</v>
          </cell>
          <cell r="K267">
            <v>9</v>
          </cell>
          <cell r="L267">
            <v>0</v>
          </cell>
          <cell r="M267">
            <v>0</v>
          </cell>
        </row>
        <row r="268">
          <cell r="C268">
            <v>0</v>
          </cell>
          <cell r="D268">
            <v>0</v>
          </cell>
          <cell r="E268">
            <v>0</v>
          </cell>
          <cell r="F268">
            <v>0</v>
          </cell>
          <cell r="G268">
            <v>0</v>
          </cell>
          <cell r="H268">
            <v>0</v>
          </cell>
          <cell r="I268">
            <v>0</v>
          </cell>
          <cell r="J268">
            <v>0</v>
          </cell>
          <cell r="K268">
            <v>9</v>
          </cell>
          <cell r="L268">
            <v>0</v>
          </cell>
          <cell r="M268">
            <v>0</v>
          </cell>
        </row>
        <row r="269">
          <cell r="C269">
            <v>0</v>
          </cell>
          <cell r="D269">
            <v>0</v>
          </cell>
          <cell r="E269">
            <v>0</v>
          </cell>
          <cell r="F269">
            <v>0</v>
          </cell>
          <cell r="G269">
            <v>0</v>
          </cell>
          <cell r="H269">
            <v>0</v>
          </cell>
          <cell r="I269">
            <v>0</v>
          </cell>
          <cell r="J269">
            <v>0</v>
          </cell>
          <cell r="K269">
            <v>9</v>
          </cell>
          <cell r="L269">
            <v>0</v>
          </cell>
          <cell r="M269">
            <v>0</v>
          </cell>
        </row>
        <row r="270">
          <cell r="C270">
            <v>0</v>
          </cell>
          <cell r="D270">
            <v>0</v>
          </cell>
          <cell r="E270">
            <v>0</v>
          </cell>
          <cell r="F270">
            <v>0</v>
          </cell>
          <cell r="G270">
            <v>0</v>
          </cell>
          <cell r="H270">
            <v>0</v>
          </cell>
          <cell r="I270">
            <v>0</v>
          </cell>
          <cell r="J270">
            <v>0</v>
          </cell>
          <cell r="K270">
            <v>9</v>
          </cell>
          <cell r="L270">
            <v>0</v>
          </cell>
          <cell r="M270">
            <v>0</v>
          </cell>
        </row>
        <row r="271">
          <cell r="C271">
            <v>0</v>
          </cell>
          <cell r="D271">
            <v>0</v>
          </cell>
          <cell r="E271">
            <v>0</v>
          </cell>
          <cell r="F271">
            <v>0</v>
          </cell>
          <cell r="G271">
            <v>0</v>
          </cell>
          <cell r="H271">
            <v>0</v>
          </cell>
          <cell r="I271">
            <v>0</v>
          </cell>
          <cell r="J271">
            <v>0</v>
          </cell>
          <cell r="K271">
            <v>9</v>
          </cell>
          <cell r="L271">
            <v>0</v>
          </cell>
          <cell r="M271">
            <v>0</v>
          </cell>
        </row>
        <row r="272">
          <cell r="C272">
            <v>0</v>
          </cell>
          <cell r="D272">
            <v>0</v>
          </cell>
          <cell r="E272">
            <v>0</v>
          </cell>
          <cell r="F272">
            <v>0</v>
          </cell>
          <cell r="G272">
            <v>0</v>
          </cell>
          <cell r="H272">
            <v>0</v>
          </cell>
          <cell r="I272">
            <v>0</v>
          </cell>
          <cell r="J272">
            <v>0</v>
          </cell>
          <cell r="K272">
            <v>9</v>
          </cell>
          <cell r="L272">
            <v>0</v>
          </cell>
          <cell r="M272">
            <v>0</v>
          </cell>
        </row>
        <row r="273">
          <cell r="C273">
            <v>0</v>
          </cell>
          <cell r="D273">
            <v>0</v>
          </cell>
          <cell r="E273">
            <v>0</v>
          </cell>
          <cell r="F273">
            <v>0</v>
          </cell>
          <cell r="G273">
            <v>0</v>
          </cell>
          <cell r="H273">
            <v>0</v>
          </cell>
          <cell r="I273">
            <v>0</v>
          </cell>
          <cell r="J273">
            <v>0</v>
          </cell>
          <cell r="K273">
            <v>9</v>
          </cell>
          <cell r="L273">
            <v>0</v>
          </cell>
          <cell r="M273">
            <v>0</v>
          </cell>
        </row>
        <row r="274">
          <cell r="C274">
            <v>0</v>
          </cell>
          <cell r="D274">
            <v>0</v>
          </cell>
          <cell r="E274">
            <v>0</v>
          </cell>
          <cell r="F274">
            <v>0</v>
          </cell>
          <cell r="G274">
            <v>0</v>
          </cell>
          <cell r="H274">
            <v>0</v>
          </cell>
          <cell r="I274">
            <v>0</v>
          </cell>
          <cell r="J274">
            <v>0</v>
          </cell>
          <cell r="K274">
            <v>9</v>
          </cell>
          <cell r="L274">
            <v>0</v>
          </cell>
          <cell r="M274">
            <v>0</v>
          </cell>
        </row>
        <row r="275">
          <cell r="C275">
            <v>0</v>
          </cell>
          <cell r="D275">
            <v>0</v>
          </cell>
          <cell r="E275">
            <v>0</v>
          </cell>
          <cell r="F275">
            <v>0</v>
          </cell>
          <cell r="G275">
            <v>0</v>
          </cell>
          <cell r="H275">
            <v>0</v>
          </cell>
          <cell r="I275">
            <v>0</v>
          </cell>
          <cell r="J275">
            <v>0</v>
          </cell>
          <cell r="K275">
            <v>9</v>
          </cell>
          <cell r="L275">
            <v>0</v>
          </cell>
          <cell r="M275">
            <v>0</v>
          </cell>
        </row>
        <row r="276">
          <cell r="C276">
            <v>0</v>
          </cell>
          <cell r="D276">
            <v>0</v>
          </cell>
          <cell r="E276">
            <v>0</v>
          </cell>
          <cell r="F276">
            <v>0</v>
          </cell>
          <cell r="G276">
            <v>0</v>
          </cell>
          <cell r="H276">
            <v>0</v>
          </cell>
          <cell r="I276">
            <v>0</v>
          </cell>
          <cell r="J276">
            <v>0</v>
          </cell>
          <cell r="K276">
            <v>9</v>
          </cell>
          <cell r="L276">
            <v>0</v>
          </cell>
          <cell r="M276">
            <v>0</v>
          </cell>
        </row>
        <row r="277">
          <cell r="C277">
            <v>0</v>
          </cell>
          <cell r="D277">
            <v>0</v>
          </cell>
          <cell r="E277">
            <v>0</v>
          </cell>
          <cell r="F277">
            <v>0</v>
          </cell>
          <cell r="G277">
            <v>0</v>
          </cell>
          <cell r="H277">
            <v>0</v>
          </cell>
          <cell r="I277">
            <v>0</v>
          </cell>
          <cell r="J277">
            <v>0</v>
          </cell>
          <cell r="K277">
            <v>9</v>
          </cell>
          <cell r="L277">
            <v>0</v>
          </cell>
          <cell r="M277">
            <v>0</v>
          </cell>
        </row>
        <row r="278">
          <cell r="C278">
            <v>0</v>
          </cell>
          <cell r="D278">
            <v>0</v>
          </cell>
          <cell r="E278">
            <v>0</v>
          </cell>
          <cell r="F278">
            <v>0</v>
          </cell>
          <cell r="G278">
            <v>0</v>
          </cell>
          <cell r="H278">
            <v>0</v>
          </cell>
          <cell r="I278">
            <v>0</v>
          </cell>
          <cell r="J278">
            <v>0</v>
          </cell>
          <cell r="K278">
            <v>9</v>
          </cell>
          <cell r="L278">
            <v>0</v>
          </cell>
          <cell r="M278">
            <v>0</v>
          </cell>
        </row>
        <row r="279">
          <cell r="C279">
            <v>0</v>
          </cell>
          <cell r="D279">
            <v>0</v>
          </cell>
          <cell r="E279">
            <v>0</v>
          </cell>
          <cell r="F279">
            <v>0</v>
          </cell>
          <cell r="G279">
            <v>0</v>
          </cell>
          <cell r="H279">
            <v>0</v>
          </cell>
          <cell r="I279">
            <v>0</v>
          </cell>
          <cell r="J279">
            <v>0</v>
          </cell>
          <cell r="K279">
            <v>9</v>
          </cell>
          <cell r="L279">
            <v>0</v>
          </cell>
          <cell r="M279">
            <v>0</v>
          </cell>
        </row>
        <row r="280">
          <cell r="C280">
            <v>0</v>
          </cell>
          <cell r="D280">
            <v>0</v>
          </cell>
          <cell r="E280">
            <v>0</v>
          </cell>
          <cell r="F280">
            <v>0</v>
          </cell>
          <cell r="G280">
            <v>0</v>
          </cell>
          <cell r="H280">
            <v>0</v>
          </cell>
          <cell r="I280">
            <v>0</v>
          </cell>
          <cell r="J280">
            <v>0</v>
          </cell>
          <cell r="K280">
            <v>9</v>
          </cell>
          <cell r="L280">
            <v>0</v>
          </cell>
          <cell r="M280">
            <v>0</v>
          </cell>
        </row>
        <row r="281">
          <cell r="C281">
            <v>0</v>
          </cell>
          <cell r="D281">
            <v>0</v>
          </cell>
          <cell r="E281">
            <v>0</v>
          </cell>
          <cell r="F281">
            <v>0</v>
          </cell>
          <cell r="G281">
            <v>0</v>
          </cell>
          <cell r="H281">
            <v>0</v>
          </cell>
          <cell r="I281">
            <v>0</v>
          </cell>
          <cell r="J281">
            <v>0</v>
          </cell>
          <cell r="K281">
            <v>9</v>
          </cell>
          <cell r="L281">
            <v>0</v>
          </cell>
          <cell r="M281">
            <v>0</v>
          </cell>
        </row>
        <row r="282">
          <cell r="C282">
            <v>0</v>
          </cell>
          <cell r="D282">
            <v>0</v>
          </cell>
          <cell r="E282">
            <v>0</v>
          </cell>
          <cell r="F282">
            <v>0</v>
          </cell>
          <cell r="G282">
            <v>0</v>
          </cell>
          <cell r="H282">
            <v>0</v>
          </cell>
          <cell r="I282">
            <v>0</v>
          </cell>
          <cell r="J282">
            <v>0</v>
          </cell>
          <cell r="K282">
            <v>9</v>
          </cell>
          <cell r="L282">
            <v>0</v>
          </cell>
          <cell r="M282">
            <v>0</v>
          </cell>
        </row>
        <row r="283">
          <cell r="C283">
            <v>0</v>
          </cell>
          <cell r="D283">
            <v>0</v>
          </cell>
          <cell r="E283">
            <v>0</v>
          </cell>
          <cell r="F283">
            <v>0</v>
          </cell>
          <cell r="G283">
            <v>0</v>
          </cell>
          <cell r="H283">
            <v>0</v>
          </cell>
          <cell r="I283">
            <v>0</v>
          </cell>
          <cell r="J283">
            <v>0</v>
          </cell>
          <cell r="K283">
            <v>9</v>
          </cell>
          <cell r="L283">
            <v>0</v>
          </cell>
          <cell r="M283">
            <v>0</v>
          </cell>
        </row>
        <row r="284">
          <cell r="C284">
            <v>0</v>
          </cell>
          <cell r="D284">
            <v>0</v>
          </cell>
          <cell r="E284">
            <v>0</v>
          </cell>
          <cell r="F284">
            <v>0</v>
          </cell>
          <cell r="G284">
            <v>0</v>
          </cell>
          <cell r="H284">
            <v>0</v>
          </cell>
          <cell r="I284">
            <v>0</v>
          </cell>
          <cell r="J284">
            <v>0</v>
          </cell>
          <cell r="K284">
            <v>9</v>
          </cell>
          <cell r="L284">
            <v>0</v>
          </cell>
          <cell r="M284">
            <v>0</v>
          </cell>
        </row>
        <row r="285">
          <cell r="C285">
            <v>0</v>
          </cell>
          <cell r="D285">
            <v>0</v>
          </cell>
          <cell r="E285">
            <v>0</v>
          </cell>
          <cell r="F285">
            <v>0</v>
          </cell>
          <cell r="G285">
            <v>0</v>
          </cell>
          <cell r="H285">
            <v>0</v>
          </cell>
          <cell r="I285">
            <v>0</v>
          </cell>
          <cell r="J285">
            <v>0</v>
          </cell>
          <cell r="K285">
            <v>9</v>
          </cell>
          <cell r="L285">
            <v>0</v>
          </cell>
          <cell r="M285">
            <v>0</v>
          </cell>
        </row>
        <row r="286">
          <cell r="C286">
            <v>0</v>
          </cell>
          <cell r="D286">
            <v>0</v>
          </cell>
          <cell r="E286">
            <v>0</v>
          </cell>
          <cell r="F286">
            <v>0</v>
          </cell>
          <cell r="G286">
            <v>0</v>
          </cell>
          <cell r="H286">
            <v>0</v>
          </cell>
          <cell r="I286">
            <v>0</v>
          </cell>
          <cell r="J286">
            <v>0</v>
          </cell>
          <cell r="K286">
            <v>9</v>
          </cell>
          <cell r="L286">
            <v>0</v>
          </cell>
          <cell r="M286">
            <v>0</v>
          </cell>
        </row>
        <row r="287">
          <cell r="C287">
            <v>0</v>
          </cell>
          <cell r="D287">
            <v>0</v>
          </cell>
          <cell r="E287">
            <v>0</v>
          </cell>
          <cell r="F287">
            <v>0</v>
          </cell>
          <cell r="G287">
            <v>0</v>
          </cell>
          <cell r="H287">
            <v>0</v>
          </cell>
          <cell r="I287">
            <v>0</v>
          </cell>
          <cell r="J287">
            <v>0</v>
          </cell>
          <cell r="K287">
            <v>9</v>
          </cell>
          <cell r="L287">
            <v>0</v>
          </cell>
          <cell r="M287">
            <v>0</v>
          </cell>
        </row>
        <row r="288">
          <cell r="C288">
            <v>0</v>
          </cell>
          <cell r="D288">
            <v>0</v>
          </cell>
          <cell r="E288">
            <v>0</v>
          </cell>
          <cell r="F288">
            <v>0</v>
          </cell>
          <cell r="G288">
            <v>0</v>
          </cell>
          <cell r="H288">
            <v>0</v>
          </cell>
          <cell r="I288">
            <v>0</v>
          </cell>
          <cell r="J288">
            <v>0</v>
          </cell>
          <cell r="K288">
            <v>9</v>
          </cell>
          <cell r="L288">
            <v>0</v>
          </cell>
          <cell r="M288">
            <v>0</v>
          </cell>
        </row>
        <row r="289">
          <cell r="C289">
            <v>0</v>
          </cell>
          <cell r="D289">
            <v>0</v>
          </cell>
          <cell r="E289">
            <v>0</v>
          </cell>
          <cell r="F289">
            <v>0</v>
          </cell>
          <cell r="G289">
            <v>0</v>
          </cell>
          <cell r="H289">
            <v>0</v>
          </cell>
          <cell r="I289">
            <v>0</v>
          </cell>
          <cell r="J289">
            <v>0</v>
          </cell>
          <cell r="K289">
            <v>9</v>
          </cell>
          <cell r="L289">
            <v>0</v>
          </cell>
          <cell r="M289">
            <v>0</v>
          </cell>
        </row>
        <row r="290">
          <cell r="C290">
            <v>0</v>
          </cell>
          <cell r="D290">
            <v>0</v>
          </cell>
          <cell r="E290">
            <v>0</v>
          </cell>
          <cell r="F290">
            <v>0</v>
          </cell>
          <cell r="G290">
            <v>0</v>
          </cell>
          <cell r="H290">
            <v>0</v>
          </cell>
          <cell r="I290">
            <v>0</v>
          </cell>
          <cell r="J290">
            <v>0</v>
          </cell>
          <cell r="K290">
            <v>9</v>
          </cell>
          <cell r="L290">
            <v>0</v>
          </cell>
          <cell r="M290">
            <v>0</v>
          </cell>
        </row>
        <row r="291">
          <cell r="C291">
            <v>0</v>
          </cell>
          <cell r="D291">
            <v>0</v>
          </cell>
          <cell r="E291">
            <v>0</v>
          </cell>
          <cell r="F291">
            <v>0</v>
          </cell>
          <cell r="G291">
            <v>0</v>
          </cell>
          <cell r="H291">
            <v>0</v>
          </cell>
          <cell r="I291">
            <v>0</v>
          </cell>
          <cell r="J291">
            <v>0</v>
          </cell>
          <cell r="K291">
            <v>9</v>
          </cell>
          <cell r="L291">
            <v>0</v>
          </cell>
          <cell r="M291">
            <v>0</v>
          </cell>
        </row>
        <row r="292">
          <cell r="C292">
            <v>0</v>
          </cell>
          <cell r="D292">
            <v>0</v>
          </cell>
          <cell r="E292">
            <v>0</v>
          </cell>
          <cell r="F292">
            <v>0</v>
          </cell>
          <cell r="G292">
            <v>0</v>
          </cell>
          <cell r="H292">
            <v>0</v>
          </cell>
          <cell r="I292">
            <v>0</v>
          </cell>
          <cell r="J292">
            <v>0</v>
          </cell>
          <cell r="K292">
            <v>9</v>
          </cell>
          <cell r="L292">
            <v>0</v>
          </cell>
          <cell r="M292">
            <v>0</v>
          </cell>
        </row>
        <row r="293">
          <cell r="C293">
            <v>0</v>
          </cell>
          <cell r="D293">
            <v>0</v>
          </cell>
          <cell r="E293">
            <v>0</v>
          </cell>
          <cell r="F293">
            <v>0</v>
          </cell>
          <cell r="G293">
            <v>0</v>
          </cell>
          <cell r="H293">
            <v>0</v>
          </cell>
          <cell r="I293">
            <v>0</v>
          </cell>
          <cell r="J293">
            <v>0</v>
          </cell>
          <cell r="K293">
            <v>9</v>
          </cell>
          <cell r="L293">
            <v>0</v>
          </cell>
          <cell r="M293">
            <v>0</v>
          </cell>
        </row>
        <row r="294">
          <cell r="C294">
            <v>0</v>
          </cell>
          <cell r="D294">
            <v>0</v>
          </cell>
          <cell r="E294">
            <v>0</v>
          </cell>
          <cell r="F294">
            <v>0</v>
          </cell>
          <cell r="G294">
            <v>0</v>
          </cell>
          <cell r="H294">
            <v>0</v>
          </cell>
          <cell r="I294">
            <v>0</v>
          </cell>
          <cell r="J294">
            <v>0</v>
          </cell>
          <cell r="K294">
            <v>9</v>
          </cell>
          <cell r="L294">
            <v>0</v>
          </cell>
          <cell r="M294">
            <v>0</v>
          </cell>
        </row>
        <row r="295">
          <cell r="C295">
            <v>0</v>
          </cell>
          <cell r="D295">
            <v>0</v>
          </cell>
          <cell r="E295">
            <v>0</v>
          </cell>
          <cell r="F295">
            <v>0</v>
          </cell>
          <cell r="G295">
            <v>0</v>
          </cell>
          <cell r="H295">
            <v>0</v>
          </cell>
          <cell r="I295">
            <v>0</v>
          </cell>
          <cell r="J295">
            <v>0</v>
          </cell>
          <cell r="K295">
            <v>9</v>
          </cell>
          <cell r="L295">
            <v>0</v>
          </cell>
          <cell r="M295">
            <v>0</v>
          </cell>
        </row>
        <row r="296">
          <cell r="C296">
            <v>0</v>
          </cell>
          <cell r="D296">
            <v>0</v>
          </cell>
          <cell r="E296">
            <v>0</v>
          </cell>
          <cell r="F296">
            <v>0</v>
          </cell>
          <cell r="G296">
            <v>0</v>
          </cell>
          <cell r="H296">
            <v>0</v>
          </cell>
          <cell r="I296">
            <v>0</v>
          </cell>
          <cell r="J296">
            <v>0</v>
          </cell>
          <cell r="K296">
            <v>9</v>
          </cell>
          <cell r="L296">
            <v>0</v>
          </cell>
          <cell r="M296">
            <v>0</v>
          </cell>
        </row>
        <row r="297">
          <cell r="C297">
            <v>0</v>
          </cell>
          <cell r="D297">
            <v>0</v>
          </cell>
          <cell r="E297">
            <v>0</v>
          </cell>
          <cell r="F297">
            <v>0</v>
          </cell>
          <cell r="G297">
            <v>0</v>
          </cell>
          <cell r="H297">
            <v>0</v>
          </cell>
          <cell r="I297">
            <v>0</v>
          </cell>
          <cell r="J297">
            <v>0</v>
          </cell>
          <cell r="K297">
            <v>9</v>
          </cell>
          <cell r="L297">
            <v>0</v>
          </cell>
          <cell r="M297">
            <v>0</v>
          </cell>
        </row>
        <row r="298">
          <cell r="C298">
            <v>0</v>
          </cell>
          <cell r="D298">
            <v>0</v>
          </cell>
          <cell r="E298">
            <v>0</v>
          </cell>
          <cell r="F298">
            <v>0</v>
          </cell>
          <cell r="G298">
            <v>0</v>
          </cell>
          <cell r="H298">
            <v>0</v>
          </cell>
          <cell r="I298">
            <v>0</v>
          </cell>
          <cell r="J298">
            <v>0</v>
          </cell>
          <cell r="K298">
            <v>9</v>
          </cell>
          <cell r="L298">
            <v>0</v>
          </cell>
          <cell r="M298">
            <v>0</v>
          </cell>
        </row>
        <row r="299">
          <cell r="C299">
            <v>0</v>
          </cell>
          <cell r="D299">
            <v>0</v>
          </cell>
          <cell r="E299">
            <v>0</v>
          </cell>
          <cell r="F299">
            <v>0</v>
          </cell>
          <cell r="G299">
            <v>0</v>
          </cell>
          <cell r="H299">
            <v>0</v>
          </cell>
          <cell r="I299">
            <v>0</v>
          </cell>
          <cell r="J299">
            <v>0</v>
          </cell>
          <cell r="K299">
            <v>9</v>
          </cell>
          <cell r="L299">
            <v>0</v>
          </cell>
          <cell r="M299">
            <v>0</v>
          </cell>
        </row>
        <row r="300">
          <cell r="C300">
            <v>0</v>
          </cell>
          <cell r="D300">
            <v>0</v>
          </cell>
          <cell r="E300">
            <v>0</v>
          </cell>
          <cell r="F300">
            <v>0</v>
          </cell>
          <cell r="G300">
            <v>0</v>
          </cell>
          <cell r="H300">
            <v>0</v>
          </cell>
          <cell r="I300">
            <v>0</v>
          </cell>
          <cell r="J300">
            <v>0</v>
          </cell>
          <cell r="K300">
            <v>9</v>
          </cell>
          <cell r="L300">
            <v>0</v>
          </cell>
          <cell r="M300">
            <v>0</v>
          </cell>
        </row>
        <row r="301">
          <cell r="C301">
            <v>0</v>
          </cell>
          <cell r="D301">
            <v>0</v>
          </cell>
          <cell r="E301">
            <v>0</v>
          </cell>
          <cell r="F301">
            <v>0</v>
          </cell>
          <cell r="G301">
            <v>0</v>
          </cell>
          <cell r="H301">
            <v>0</v>
          </cell>
          <cell r="I301">
            <v>0</v>
          </cell>
          <cell r="J301">
            <v>0</v>
          </cell>
          <cell r="K301">
            <v>9</v>
          </cell>
          <cell r="L301">
            <v>0</v>
          </cell>
          <cell r="M301">
            <v>0</v>
          </cell>
        </row>
        <row r="302">
          <cell r="C302">
            <v>0</v>
          </cell>
          <cell r="D302">
            <v>0</v>
          </cell>
          <cell r="E302">
            <v>0</v>
          </cell>
          <cell r="F302">
            <v>0</v>
          </cell>
          <cell r="G302">
            <v>0</v>
          </cell>
          <cell r="H302">
            <v>0</v>
          </cell>
          <cell r="I302">
            <v>0</v>
          </cell>
          <cell r="J302">
            <v>0</v>
          </cell>
          <cell r="K302">
            <v>9</v>
          </cell>
          <cell r="L302">
            <v>0</v>
          </cell>
          <cell r="M302">
            <v>0</v>
          </cell>
        </row>
        <row r="303">
          <cell r="C303">
            <v>0</v>
          </cell>
          <cell r="D303">
            <v>0</v>
          </cell>
          <cell r="E303">
            <v>0</v>
          </cell>
          <cell r="F303">
            <v>0</v>
          </cell>
          <cell r="G303">
            <v>0</v>
          </cell>
          <cell r="H303">
            <v>0</v>
          </cell>
          <cell r="I303">
            <v>0</v>
          </cell>
          <cell r="J303">
            <v>0</v>
          </cell>
          <cell r="K303">
            <v>9</v>
          </cell>
          <cell r="L303">
            <v>0</v>
          </cell>
          <cell r="M303">
            <v>0</v>
          </cell>
        </row>
        <row r="304">
          <cell r="C304">
            <v>0</v>
          </cell>
          <cell r="D304">
            <v>0</v>
          </cell>
          <cell r="E304">
            <v>0</v>
          </cell>
          <cell r="F304">
            <v>0</v>
          </cell>
          <cell r="G304">
            <v>0</v>
          </cell>
          <cell r="H304">
            <v>0</v>
          </cell>
          <cell r="I304">
            <v>0</v>
          </cell>
          <cell r="J304">
            <v>0</v>
          </cell>
          <cell r="K304">
            <v>9</v>
          </cell>
          <cell r="L304">
            <v>0</v>
          </cell>
          <cell r="M304">
            <v>0</v>
          </cell>
        </row>
        <row r="305">
          <cell r="C305">
            <v>0</v>
          </cell>
          <cell r="D305">
            <v>0</v>
          </cell>
          <cell r="E305">
            <v>0</v>
          </cell>
          <cell r="F305">
            <v>0</v>
          </cell>
          <cell r="G305">
            <v>0</v>
          </cell>
          <cell r="H305">
            <v>0</v>
          </cell>
          <cell r="I305">
            <v>0</v>
          </cell>
          <cell r="J305">
            <v>0</v>
          </cell>
          <cell r="K305">
            <v>9</v>
          </cell>
          <cell r="L305">
            <v>0</v>
          </cell>
          <cell r="M305">
            <v>0</v>
          </cell>
        </row>
        <row r="306">
          <cell r="C306">
            <v>0</v>
          </cell>
          <cell r="D306">
            <v>0</v>
          </cell>
          <cell r="E306">
            <v>0</v>
          </cell>
          <cell r="F306">
            <v>0</v>
          </cell>
          <cell r="G306">
            <v>0</v>
          </cell>
          <cell r="H306">
            <v>0</v>
          </cell>
          <cell r="I306">
            <v>0</v>
          </cell>
          <cell r="J306">
            <v>0</v>
          </cell>
          <cell r="K306">
            <v>9</v>
          </cell>
          <cell r="L306">
            <v>0</v>
          </cell>
          <cell r="M306">
            <v>0</v>
          </cell>
        </row>
        <row r="307">
          <cell r="C307">
            <v>0</v>
          </cell>
          <cell r="D307">
            <v>0</v>
          </cell>
          <cell r="E307">
            <v>0</v>
          </cell>
          <cell r="F307">
            <v>0</v>
          </cell>
          <cell r="G307">
            <v>0</v>
          </cell>
          <cell r="H307">
            <v>0</v>
          </cell>
          <cell r="I307">
            <v>0</v>
          </cell>
          <cell r="J307">
            <v>0</v>
          </cell>
          <cell r="K307">
            <v>9</v>
          </cell>
          <cell r="L307">
            <v>0</v>
          </cell>
          <cell r="M307">
            <v>0</v>
          </cell>
        </row>
        <row r="308">
          <cell r="C308">
            <v>0</v>
          </cell>
          <cell r="D308">
            <v>0</v>
          </cell>
          <cell r="E308">
            <v>0</v>
          </cell>
          <cell r="F308">
            <v>0</v>
          </cell>
          <cell r="G308">
            <v>0</v>
          </cell>
          <cell r="H308">
            <v>0</v>
          </cell>
          <cell r="I308">
            <v>0</v>
          </cell>
          <cell r="J308">
            <v>0</v>
          </cell>
          <cell r="K308">
            <v>9</v>
          </cell>
          <cell r="L308">
            <v>0</v>
          </cell>
          <cell r="M308">
            <v>0</v>
          </cell>
        </row>
        <row r="309">
          <cell r="C309">
            <v>0</v>
          </cell>
          <cell r="D309">
            <v>0</v>
          </cell>
          <cell r="E309">
            <v>0</v>
          </cell>
          <cell r="F309">
            <v>0</v>
          </cell>
          <cell r="G309">
            <v>0</v>
          </cell>
          <cell r="H309">
            <v>0</v>
          </cell>
          <cell r="I309">
            <v>0</v>
          </cell>
          <cell r="J309">
            <v>0</v>
          </cell>
          <cell r="K309">
            <v>9</v>
          </cell>
          <cell r="L309">
            <v>0</v>
          </cell>
          <cell r="M309">
            <v>0</v>
          </cell>
        </row>
        <row r="310">
          <cell r="C310">
            <v>0</v>
          </cell>
          <cell r="D310">
            <v>0</v>
          </cell>
          <cell r="E310">
            <v>0</v>
          </cell>
          <cell r="F310">
            <v>0</v>
          </cell>
          <cell r="G310">
            <v>0</v>
          </cell>
          <cell r="H310">
            <v>0</v>
          </cell>
          <cell r="I310">
            <v>0</v>
          </cell>
          <cell r="J310">
            <v>0</v>
          </cell>
          <cell r="K310">
            <v>9</v>
          </cell>
          <cell r="L310">
            <v>0</v>
          </cell>
          <cell r="M310">
            <v>0</v>
          </cell>
        </row>
        <row r="311">
          <cell r="C311">
            <v>0</v>
          </cell>
          <cell r="D311">
            <v>0</v>
          </cell>
          <cell r="E311">
            <v>0</v>
          </cell>
          <cell r="F311">
            <v>0</v>
          </cell>
          <cell r="G311">
            <v>0</v>
          </cell>
          <cell r="H311">
            <v>0</v>
          </cell>
          <cell r="I311">
            <v>0</v>
          </cell>
          <cell r="J311">
            <v>0</v>
          </cell>
          <cell r="K311">
            <v>9</v>
          </cell>
          <cell r="L311">
            <v>0</v>
          </cell>
          <cell r="M311">
            <v>0</v>
          </cell>
        </row>
        <row r="312">
          <cell r="C312">
            <v>0</v>
          </cell>
          <cell r="D312">
            <v>0</v>
          </cell>
          <cell r="E312">
            <v>0</v>
          </cell>
          <cell r="F312">
            <v>0</v>
          </cell>
          <cell r="G312">
            <v>0</v>
          </cell>
          <cell r="H312">
            <v>0</v>
          </cell>
          <cell r="I312">
            <v>0</v>
          </cell>
          <cell r="J312">
            <v>0</v>
          </cell>
          <cell r="K312">
            <v>9</v>
          </cell>
          <cell r="L312">
            <v>0</v>
          </cell>
          <cell r="M312">
            <v>0</v>
          </cell>
        </row>
        <row r="313">
          <cell r="C313">
            <v>0</v>
          </cell>
          <cell r="D313">
            <v>0</v>
          </cell>
          <cell r="E313">
            <v>0</v>
          </cell>
          <cell r="F313">
            <v>0</v>
          </cell>
          <cell r="G313">
            <v>0</v>
          </cell>
          <cell r="H313">
            <v>0</v>
          </cell>
          <cell r="I313">
            <v>0</v>
          </cell>
          <cell r="J313">
            <v>0</v>
          </cell>
          <cell r="K313">
            <v>9</v>
          </cell>
          <cell r="L313">
            <v>0</v>
          </cell>
          <cell r="M313">
            <v>0</v>
          </cell>
        </row>
        <row r="314">
          <cell r="C314">
            <v>0</v>
          </cell>
          <cell r="D314">
            <v>0</v>
          </cell>
          <cell r="E314">
            <v>0</v>
          </cell>
          <cell r="F314">
            <v>0</v>
          </cell>
          <cell r="G314">
            <v>0</v>
          </cell>
          <cell r="H314">
            <v>0</v>
          </cell>
          <cell r="I314">
            <v>0</v>
          </cell>
          <cell r="J314">
            <v>0</v>
          </cell>
          <cell r="K314">
            <v>9</v>
          </cell>
          <cell r="L314">
            <v>0</v>
          </cell>
          <cell r="M314">
            <v>0</v>
          </cell>
        </row>
        <row r="315">
          <cell r="C315">
            <v>0</v>
          </cell>
          <cell r="D315">
            <v>0</v>
          </cell>
          <cell r="E315">
            <v>0</v>
          </cell>
          <cell r="F315">
            <v>0</v>
          </cell>
          <cell r="G315">
            <v>0</v>
          </cell>
          <cell r="H315">
            <v>0</v>
          </cell>
          <cell r="I315">
            <v>0</v>
          </cell>
          <cell r="J315">
            <v>0</v>
          </cell>
          <cell r="K315">
            <v>9</v>
          </cell>
          <cell r="L315">
            <v>0</v>
          </cell>
          <cell r="M315">
            <v>0</v>
          </cell>
        </row>
        <row r="316">
          <cell r="C316">
            <v>0</v>
          </cell>
          <cell r="D316">
            <v>0</v>
          </cell>
          <cell r="E316">
            <v>0</v>
          </cell>
          <cell r="F316">
            <v>0</v>
          </cell>
          <cell r="G316">
            <v>0</v>
          </cell>
          <cell r="H316">
            <v>0</v>
          </cell>
          <cell r="I316">
            <v>0</v>
          </cell>
          <cell r="J316">
            <v>0</v>
          </cell>
          <cell r="K316">
            <v>9</v>
          </cell>
          <cell r="L316">
            <v>0</v>
          </cell>
          <cell r="M316">
            <v>0</v>
          </cell>
        </row>
        <row r="317">
          <cell r="C317">
            <v>0</v>
          </cell>
          <cell r="D317">
            <v>0</v>
          </cell>
          <cell r="E317">
            <v>0</v>
          </cell>
          <cell r="F317">
            <v>0</v>
          </cell>
          <cell r="G317">
            <v>0</v>
          </cell>
          <cell r="H317">
            <v>0</v>
          </cell>
          <cell r="I317">
            <v>0</v>
          </cell>
          <cell r="J317">
            <v>0</v>
          </cell>
          <cell r="K317">
            <v>9</v>
          </cell>
          <cell r="L317">
            <v>0</v>
          </cell>
          <cell r="M317">
            <v>0</v>
          </cell>
        </row>
        <row r="318">
          <cell r="C318">
            <v>0</v>
          </cell>
          <cell r="D318">
            <v>0</v>
          </cell>
          <cell r="E318">
            <v>0</v>
          </cell>
          <cell r="F318">
            <v>0</v>
          </cell>
          <cell r="G318">
            <v>0</v>
          </cell>
          <cell r="H318">
            <v>0</v>
          </cell>
          <cell r="I318">
            <v>0</v>
          </cell>
          <cell r="J318">
            <v>0</v>
          </cell>
          <cell r="K318">
            <v>9</v>
          </cell>
          <cell r="L318">
            <v>0</v>
          </cell>
          <cell r="M318">
            <v>0</v>
          </cell>
        </row>
        <row r="319">
          <cell r="C319">
            <v>0</v>
          </cell>
          <cell r="D319">
            <v>0</v>
          </cell>
          <cell r="E319">
            <v>0</v>
          </cell>
          <cell r="F319">
            <v>0</v>
          </cell>
          <cell r="G319">
            <v>0</v>
          </cell>
          <cell r="H319">
            <v>0</v>
          </cell>
          <cell r="I319">
            <v>0</v>
          </cell>
          <cell r="J319">
            <v>0</v>
          </cell>
          <cell r="K319">
            <v>9</v>
          </cell>
          <cell r="L319">
            <v>0</v>
          </cell>
          <cell r="M319">
            <v>0</v>
          </cell>
        </row>
        <row r="320">
          <cell r="C320">
            <v>0</v>
          </cell>
          <cell r="D320">
            <v>0</v>
          </cell>
          <cell r="E320">
            <v>0</v>
          </cell>
          <cell r="F320">
            <v>0</v>
          </cell>
          <cell r="G320">
            <v>0</v>
          </cell>
          <cell r="H320">
            <v>0</v>
          </cell>
          <cell r="I320">
            <v>0</v>
          </cell>
          <cell r="J320">
            <v>0</v>
          </cell>
          <cell r="K320">
            <v>9</v>
          </cell>
          <cell r="L320">
            <v>0</v>
          </cell>
          <cell r="M320">
            <v>0</v>
          </cell>
        </row>
        <row r="321">
          <cell r="C321">
            <v>0</v>
          </cell>
          <cell r="D321">
            <v>0</v>
          </cell>
          <cell r="E321">
            <v>0</v>
          </cell>
          <cell r="F321">
            <v>0</v>
          </cell>
          <cell r="G321">
            <v>0</v>
          </cell>
          <cell r="H321">
            <v>0</v>
          </cell>
          <cell r="I321">
            <v>0</v>
          </cell>
          <cell r="J321">
            <v>0</v>
          </cell>
          <cell r="K321">
            <v>9</v>
          </cell>
          <cell r="L321">
            <v>0</v>
          </cell>
          <cell r="M321">
            <v>0</v>
          </cell>
        </row>
        <row r="322">
          <cell r="C322">
            <v>0</v>
          </cell>
          <cell r="D322">
            <v>0</v>
          </cell>
          <cell r="E322">
            <v>0</v>
          </cell>
          <cell r="F322">
            <v>0</v>
          </cell>
          <cell r="G322">
            <v>0</v>
          </cell>
          <cell r="H322">
            <v>0</v>
          </cell>
          <cell r="I322">
            <v>0</v>
          </cell>
          <cell r="J322">
            <v>0</v>
          </cell>
          <cell r="K322">
            <v>9</v>
          </cell>
          <cell r="L322">
            <v>0</v>
          </cell>
          <cell r="M322">
            <v>0</v>
          </cell>
        </row>
        <row r="323">
          <cell r="C323">
            <v>0</v>
          </cell>
          <cell r="D323">
            <v>0</v>
          </cell>
          <cell r="E323">
            <v>0</v>
          </cell>
          <cell r="F323">
            <v>0</v>
          </cell>
          <cell r="G323">
            <v>0</v>
          </cell>
          <cell r="H323">
            <v>0</v>
          </cell>
          <cell r="I323">
            <v>0</v>
          </cell>
          <cell r="J323">
            <v>0</v>
          </cell>
          <cell r="K323">
            <v>9</v>
          </cell>
          <cell r="L323">
            <v>0</v>
          </cell>
          <cell r="M323">
            <v>0</v>
          </cell>
        </row>
        <row r="324">
          <cell r="C324">
            <v>0</v>
          </cell>
          <cell r="D324">
            <v>0</v>
          </cell>
          <cell r="E324">
            <v>0</v>
          </cell>
          <cell r="F324">
            <v>0</v>
          </cell>
          <cell r="G324">
            <v>0</v>
          </cell>
          <cell r="H324">
            <v>0</v>
          </cell>
          <cell r="I324">
            <v>0</v>
          </cell>
          <cell r="J324">
            <v>0</v>
          </cell>
          <cell r="K324">
            <v>9</v>
          </cell>
          <cell r="L324">
            <v>0</v>
          </cell>
          <cell r="M324">
            <v>0</v>
          </cell>
        </row>
        <row r="325">
          <cell r="C325">
            <v>0</v>
          </cell>
          <cell r="D325">
            <v>0</v>
          </cell>
          <cell r="E325">
            <v>0</v>
          </cell>
          <cell r="F325">
            <v>0</v>
          </cell>
          <cell r="G325">
            <v>0</v>
          </cell>
          <cell r="H325">
            <v>0</v>
          </cell>
          <cell r="I325">
            <v>0</v>
          </cell>
          <cell r="J325">
            <v>0</v>
          </cell>
          <cell r="K325">
            <v>9</v>
          </cell>
          <cell r="L325">
            <v>0</v>
          </cell>
          <cell r="M325">
            <v>0</v>
          </cell>
        </row>
        <row r="326">
          <cell r="C326">
            <v>0</v>
          </cell>
          <cell r="D326">
            <v>0</v>
          </cell>
          <cell r="E326">
            <v>0</v>
          </cell>
          <cell r="F326">
            <v>0</v>
          </cell>
          <cell r="G326">
            <v>0</v>
          </cell>
          <cell r="H326">
            <v>0</v>
          </cell>
          <cell r="I326">
            <v>0</v>
          </cell>
          <cell r="J326">
            <v>0</v>
          </cell>
          <cell r="K326">
            <v>9</v>
          </cell>
          <cell r="L326">
            <v>0</v>
          </cell>
          <cell r="M326">
            <v>0</v>
          </cell>
        </row>
        <row r="327">
          <cell r="C327">
            <v>0</v>
          </cell>
          <cell r="D327">
            <v>0</v>
          </cell>
          <cell r="E327">
            <v>0</v>
          </cell>
          <cell r="F327">
            <v>0</v>
          </cell>
          <cell r="G327">
            <v>0</v>
          </cell>
          <cell r="H327">
            <v>0</v>
          </cell>
          <cell r="I327">
            <v>0</v>
          </cell>
          <cell r="J327">
            <v>0</v>
          </cell>
          <cell r="K327">
            <v>9</v>
          </cell>
          <cell r="L327">
            <v>0</v>
          </cell>
          <cell r="M327">
            <v>0</v>
          </cell>
        </row>
        <row r="328">
          <cell r="C328">
            <v>0</v>
          </cell>
          <cell r="D328">
            <v>0</v>
          </cell>
          <cell r="E328">
            <v>0</v>
          </cell>
          <cell r="F328">
            <v>0</v>
          </cell>
          <cell r="G328">
            <v>0</v>
          </cell>
          <cell r="H328">
            <v>0</v>
          </cell>
          <cell r="I328">
            <v>0</v>
          </cell>
          <cell r="J328">
            <v>0</v>
          </cell>
          <cell r="K328">
            <v>9</v>
          </cell>
          <cell r="L328">
            <v>0</v>
          </cell>
          <cell r="M328">
            <v>0</v>
          </cell>
        </row>
        <row r="329">
          <cell r="C329">
            <v>0</v>
          </cell>
          <cell r="D329">
            <v>0</v>
          </cell>
          <cell r="E329">
            <v>0</v>
          </cell>
          <cell r="F329">
            <v>0</v>
          </cell>
          <cell r="G329">
            <v>0</v>
          </cell>
          <cell r="H329">
            <v>0</v>
          </cell>
          <cell r="I329">
            <v>0</v>
          </cell>
          <cell r="J329">
            <v>0</v>
          </cell>
          <cell r="K329">
            <v>9</v>
          </cell>
          <cell r="L329">
            <v>0</v>
          </cell>
          <cell r="M329">
            <v>0</v>
          </cell>
        </row>
        <row r="330">
          <cell r="C330">
            <v>0</v>
          </cell>
          <cell r="D330">
            <v>0</v>
          </cell>
          <cell r="E330">
            <v>0</v>
          </cell>
          <cell r="F330">
            <v>0</v>
          </cell>
          <cell r="G330">
            <v>0</v>
          </cell>
          <cell r="H330">
            <v>0</v>
          </cell>
          <cell r="I330">
            <v>0</v>
          </cell>
          <cell r="J330">
            <v>0</v>
          </cell>
          <cell r="K330">
            <v>9</v>
          </cell>
          <cell r="L330">
            <v>0</v>
          </cell>
          <cell r="M330">
            <v>0</v>
          </cell>
        </row>
        <row r="331">
          <cell r="C331">
            <v>0</v>
          </cell>
          <cell r="D331">
            <v>0</v>
          </cell>
          <cell r="E331">
            <v>0</v>
          </cell>
          <cell r="F331">
            <v>0</v>
          </cell>
          <cell r="G331">
            <v>0</v>
          </cell>
          <cell r="H331">
            <v>0</v>
          </cell>
          <cell r="I331">
            <v>0</v>
          </cell>
          <cell r="J331">
            <v>0</v>
          </cell>
          <cell r="K331">
            <v>9</v>
          </cell>
          <cell r="L331">
            <v>0</v>
          </cell>
          <cell r="M331">
            <v>0</v>
          </cell>
        </row>
        <row r="332">
          <cell r="C332">
            <v>0</v>
          </cell>
          <cell r="D332">
            <v>0</v>
          </cell>
          <cell r="E332">
            <v>0</v>
          </cell>
          <cell r="F332">
            <v>0</v>
          </cell>
          <cell r="G332">
            <v>0</v>
          </cell>
          <cell r="H332">
            <v>0</v>
          </cell>
          <cell r="I332">
            <v>0</v>
          </cell>
          <cell r="J332">
            <v>0</v>
          </cell>
          <cell r="K332">
            <v>9</v>
          </cell>
          <cell r="L332">
            <v>0</v>
          </cell>
          <cell r="M332">
            <v>0</v>
          </cell>
        </row>
        <row r="333">
          <cell r="C333">
            <v>0</v>
          </cell>
          <cell r="D333">
            <v>0</v>
          </cell>
          <cell r="E333">
            <v>0</v>
          </cell>
          <cell r="F333">
            <v>0</v>
          </cell>
          <cell r="G333">
            <v>0</v>
          </cell>
          <cell r="H333">
            <v>0</v>
          </cell>
          <cell r="I333">
            <v>0</v>
          </cell>
          <cell r="J333">
            <v>0</v>
          </cell>
          <cell r="K333">
            <v>9</v>
          </cell>
          <cell r="L333">
            <v>0</v>
          </cell>
          <cell r="M333">
            <v>0</v>
          </cell>
        </row>
        <row r="334">
          <cell r="C334">
            <v>0</v>
          </cell>
          <cell r="D334">
            <v>0</v>
          </cell>
          <cell r="E334">
            <v>0</v>
          </cell>
          <cell r="F334">
            <v>0</v>
          </cell>
          <cell r="G334">
            <v>0</v>
          </cell>
          <cell r="H334">
            <v>0</v>
          </cell>
          <cell r="I334">
            <v>0</v>
          </cell>
          <cell r="J334">
            <v>0</v>
          </cell>
          <cell r="K334">
            <v>9</v>
          </cell>
          <cell r="L334">
            <v>0</v>
          </cell>
          <cell r="M334">
            <v>0</v>
          </cell>
        </row>
        <row r="335">
          <cell r="C335">
            <v>0</v>
          </cell>
          <cell r="D335">
            <v>0</v>
          </cell>
          <cell r="E335">
            <v>0</v>
          </cell>
          <cell r="F335">
            <v>0</v>
          </cell>
          <cell r="G335">
            <v>0</v>
          </cell>
          <cell r="H335">
            <v>0</v>
          </cell>
          <cell r="I335">
            <v>0</v>
          </cell>
          <cell r="J335">
            <v>0</v>
          </cell>
          <cell r="K335">
            <v>9</v>
          </cell>
          <cell r="L335">
            <v>0</v>
          </cell>
          <cell r="M335">
            <v>0</v>
          </cell>
        </row>
        <row r="336">
          <cell r="C336">
            <v>0</v>
          </cell>
          <cell r="D336">
            <v>0</v>
          </cell>
          <cell r="E336">
            <v>0</v>
          </cell>
          <cell r="F336">
            <v>0</v>
          </cell>
          <cell r="G336">
            <v>0</v>
          </cell>
          <cell r="H336">
            <v>0</v>
          </cell>
          <cell r="I336">
            <v>0</v>
          </cell>
          <cell r="J336">
            <v>0</v>
          </cell>
          <cell r="K336">
            <v>9</v>
          </cell>
          <cell r="L336">
            <v>0</v>
          </cell>
          <cell r="M336">
            <v>0</v>
          </cell>
        </row>
        <row r="337">
          <cell r="C337">
            <v>0</v>
          </cell>
          <cell r="D337">
            <v>0</v>
          </cell>
          <cell r="E337">
            <v>0</v>
          </cell>
          <cell r="F337">
            <v>0</v>
          </cell>
          <cell r="G337">
            <v>0</v>
          </cell>
          <cell r="H337">
            <v>0</v>
          </cell>
          <cell r="I337">
            <v>0</v>
          </cell>
          <cell r="J337">
            <v>0</v>
          </cell>
          <cell r="K337">
            <v>9</v>
          </cell>
          <cell r="L337">
            <v>0</v>
          </cell>
          <cell r="M337">
            <v>0</v>
          </cell>
        </row>
        <row r="338">
          <cell r="C338">
            <v>0</v>
          </cell>
          <cell r="D338">
            <v>0</v>
          </cell>
          <cell r="E338">
            <v>0</v>
          </cell>
          <cell r="F338">
            <v>0</v>
          </cell>
          <cell r="G338">
            <v>0</v>
          </cell>
          <cell r="H338">
            <v>0</v>
          </cell>
          <cell r="I338">
            <v>0</v>
          </cell>
          <cell r="J338">
            <v>0</v>
          </cell>
          <cell r="K338">
            <v>9</v>
          </cell>
          <cell r="L338">
            <v>0</v>
          </cell>
          <cell r="M338">
            <v>0</v>
          </cell>
        </row>
        <row r="339">
          <cell r="C339">
            <v>0</v>
          </cell>
          <cell r="D339">
            <v>0</v>
          </cell>
          <cell r="E339">
            <v>0</v>
          </cell>
          <cell r="F339">
            <v>0</v>
          </cell>
          <cell r="G339">
            <v>0</v>
          </cell>
          <cell r="H339">
            <v>0</v>
          </cell>
          <cell r="I339">
            <v>0</v>
          </cell>
          <cell r="J339">
            <v>0</v>
          </cell>
          <cell r="K339">
            <v>9</v>
          </cell>
          <cell r="L339">
            <v>0</v>
          </cell>
          <cell r="M339">
            <v>0</v>
          </cell>
        </row>
        <row r="340">
          <cell r="C340">
            <v>0</v>
          </cell>
          <cell r="D340">
            <v>0</v>
          </cell>
          <cell r="E340">
            <v>0</v>
          </cell>
          <cell r="F340">
            <v>0</v>
          </cell>
          <cell r="G340">
            <v>0</v>
          </cell>
          <cell r="H340">
            <v>0</v>
          </cell>
          <cell r="I340">
            <v>0</v>
          </cell>
          <cell r="J340">
            <v>0</v>
          </cell>
          <cell r="K340">
            <v>9</v>
          </cell>
          <cell r="L340">
            <v>0</v>
          </cell>
          <cell r="M340">
            <v>0</v>
          </cell>
        </row>
        <row r="341">
          <cell r="C341">
            <v>0</v>
          </cell>
          <cell r="D341">
            <v>0</v>
          </cell>
          <cell r="E341">
            <v>0</v>
          </cell>
          <cell r="F341">
            <v>0</v>
          </cell>
          <cell r="G341">
            <v>0</v>
          </cell>
          <cell r="H341">
            <v>0</v>
          </cell>
          <cell r="I341">
            <v>0</v>
          </cell>
          <cell r="J341">
            <v>0</v>
          </cell>
          <cell r="K341">
            <v>9</v>
          </cell>
          <cell r="L341">
            <v>0</v>
          </cell>
          <cell r="M341">
            <v>0</v>
          </cell>
        </row>
        <row r="342">
          <cell r="C342">
            <v>0</v>
          </cell>
          <cell r="D342">
            <v>0</v>
          </cell>
          <cell r="E342">
            <v>0</v>
          </cell>
          <cell r="F342">
            <v>0</v>
          </cell>
          <cell r="G342">
            <v>0</v>
          </cell>
          <cell r="H342">
            <v>0</v>
          </cell>
          <cell r="I342">
            <v>0</v>
          </cell>
          <cell r="J342">
            <v>0</v>
          </cell>
          <cell r="K342">
            <v>9</v>
          </cell>
          <cell r="L342">
            <v>0</v>
          </cell>
          <cell r="M342">
            <v>0</v>
          </cell>
        </row>
        <row r="343">
          <cell r="C343">
            <v>0</v>
          </cell>
          <cell r="D343">
            <v>0</v>
          </cell>
          <cell r="E343">
            <v>0</v>
          </cell>
          <cell r="F343">
            <v>0</v>
          </cell>
          <cell r="G343">
            <v>0</v>
          </cell>
          <cell r="H343">
            <v>0</v>
          </cell>
          <cell r="I343">
            <v>0</v>
          </cell>
          <cell r="J343">
            <v>0</v>
          </cell>
          <cell r="K343">
            <v>9</v>
          </cell>
          <cell r="L343">
            <v>0</v>
          </cell>
          <cell r="M343">
            <v>0</v>
          </cell>
        </row>
        <row r="344">
          <cell r="C344">
            <v>0</v>
          </cell>
          <cell r="D344">
            <v>0</v>
          </cell>
          <cell r="E344">
            <v>0</v>
          </cell>
          <cell r="F344">
            <v>0</v>
          </cell>
          <cell r="G344">
            <v>0</v>
          </cell>
          <cell r="H344">
            <v>0</v>
          </cell>
          <cell r="I344">
            <v>0</v>
          </cell>
          <cell r="J344">
            <v>0</v>
          </cell>
          <cell r="K344">
            <v>9</v>
          </cell>
          <cell r="L344">
            <v>0</v>
          </cell>
          <cell r="M344">
            <v>0</v>
          </cell>
        </row>
        <row r="345">
          <cell r="C345">
            <v>0</v>
          </cell>
          <cell r="D345">
            <v>0</v>
          </cell>
          <cell r="E345">
            <v>0</v>
          </cell>
          <cell r="F345">
            <v>0</v>
          </cell>
          <cell r="G345">
            <v>0</v>
          </cell>
          <cell r="H345">
            <v>0</v>
          </cell>
          <cell r="I345">
            <v>0</v>
          </cell>
          <cell r="J345">
            <v>0</v>
          </cell>
          <cell r="K345">
            <v>9</v>
          </cell>
          <cell r="L345">
            <v>0</v>
          </cell>
          <cell r="M345">
            <v>0</v>
          </cell>
        </row>
        <row r="346">
          <cell r="C346">
            <v>0</v>
          </cell>
          <cell r="D346">
            <v>0</v>
          </cell>
          <cell r="E346">
            <v>0</v>
          </cell>
          <cell r="F346">
            <v>0</v>
          </cell>
          <cell r="G346">
            <v>0</v>
          </cell>
          <cell r="H346">
            <v>0</v>
          </cell>
          <cell r="I346">
            <v>0</v>
          </cell>
          <cell r="J346">
            <v>0</v>
          </cell>
          <cell r="K346">
            <v>9</v>
          </cell>
          <cell r="L346">
            <v>0</v>
          </cell>
          <cell r="M346">
            <v>0</v>
          </cell>
        </row>
        <row r="347">
          <cell r="C347">
            <v>0</v>
          </cell>
          <cell r="D347">
            <v>0</v>
          </cell>
          <cell r="E347">
            <v>0</v>
          </cell>
          <cell r="F347">
            <v>0</v>
          </cell>
          <cell r="G347">
            <v>0</v>
          </cell>
          <cell r="H347">
            <v>0</v>
          </cell>
          <cell r="I347">
            <v>0</v>
          </cell>
          <cell r="J347">
            <v>0</v>
          </cell>
          <cell r="K347">
            <v>9</v>
          </cell>
          <cell r="L347">
            <v>0</v>
          </cell>
          <cell r="M347">
            <v>0</v>
          </cell>
        </row>
        <row r="348">
          <cell r="C348">
            <v>0</v>
          </cell>
          <cell r="D348">
            <v>0</v>
          </cell>
          <cell r="E348">
            <v>0</v>
          </cell>
          <cell r="F348">
            <v>0</v>
          </cell>
          <cell r="G348">
            <v>0</v>
          </cell>
          <cell r="H348">
            <v>0</v>
          </cell>
          <cell r="I348">
            <v>0</v>
          </cell>
          <cell r="J348">
            <v>0</v>
          </cell>
          <cell r="K348">
            <v>9</v>
          </cell>
          <cell r="L348">
            <v>0</v>
          </cell>
          <cell r="M348">
            <v>0</v>
          </cell>
        </row>
        <row r="349">
          <cell r="C349">
            <v>0</v>
          </cell>
          <cell r="D349">
            <v>0</v>
          </cell>
          <cell r="E349">
            <v>0</v>
          </cell>
          <cell r="F349">
            <v>0</v>
          </cell>
          <cell r="G349">
            <v>0</v>
          </cell>
          <cell r="H349">
            <v>0</v>
          </cell>
          <cell r="I349">
            <v>0</v>
          </cell>
          <cell r="J349">
            <v>0</v>
          </cell>
          <cell r="K349">
            <v>9</v>
          </cell>
          <cell r="L349">
            <v>0</v>
          </cell>
          <cell r="M349">
            <v>0</v>
          </cell>
        </row>
        <row r="350">
          <cell r="C350">
            <v>0</v>
          </cell>
          <cell r="D350">
            <v>0</v>
          </cell>
          <cell r="E350">
            <v>0</v>
          </cell>
          <cell r="F350">
            <v>0</v>
          </cell>
          <cell r="G350">
            <v>0</v>
          </cell>
          <cell r="H350">
            <v>0</v>
          </cell>
          <cell r="I350">
            <v>0</v>
          </cell>
          <cell r="J350">
            <v>0</v>
          </cell>
          <cell r="K350">
            <v>9</v>
          </cell>
          <cell r="L350">
            <v>0</v>
          </cell>
          <cell r="M350">
            <v>0</v>
          </cell>
        </row>
        <row r="351">
          <cell r="C351">
            <v>0</v>
          </cell>
          <cell r="D351">
            <v>0</v>
          </cell>
          <cell r="E351">
            <v>0</v>
          </cell>
          <cell r="F351">
            <v>0</v>
          </cell>
          <cell r="G351">
            <v>0</v>
          </cell>
          <cell r="H351">
            <v>0</v>
          </cell>
          <cell r="I351">
            <v>0</v>
          </cell>
          <cell r="J351">
            <v>0</v>
          </cell>
          <cell r="K351">
            <v>9</v>
          </cell>
          <cell r="L351">
            <v>0</v>
          </cell>
          <cell r="M351">
            <v>0</v>
          </cell>
        </row>
        <row r="352">
          <cell r="C352">
            <v>0</v>
          </cell>
          <cell r="D352">
            <v>0</v>
          </cell>
          <cell r="E352">
            <v>0</v>
          </cell>
          <cell r="F352">
            <v>0</v>
          </cell>
          <cell r="G352">
            <v>0</v>
          </cell>
          <cell r="H352">
            <v>0</v>
          </cell>
          <cell r="I352">
            <v>0</v>
          </cell>
          <cell r="J352">
            <v>0</v>
          </cell>
          <cell r="K352">
            <v>9</v>
          </cell>
          <cell r="L352">
            <v>0</v>
          </cell>
          <cell r="M352">
            <v>0</v>
          </cell>
        </row>
        <row r="353">
          <cell r="C353">
            <v>0</v>
          </cell>
          <cell r="D353">
            <v>0</v>
          </cell>
          <cell r="E353">
            <v>0</v>
          </cell>
          <cell r="F353">
            <v>0</v>
          </cell>
          <cell r="G353">
            <v>0</v>
          </cell>
          <cell r="H353">
            <v>0</v>
          </cell>
          <cell r="I353">
            <v>0</v>
          </cell>
          <cell r="J353">
            <v>0</v>
          </cell>
          <cell r="K353">
            <v>9</v>
          </cell>
          <cell r="L353">
            <v>0</v>
          </cell>
          <cell r="M353">
            <v>0</v>
          </cell>
        </row>
        <row r="354">
          <cell r="C354">
            <v>0</v>
          </cell>
          <cell r="D354">
            <v>0</v>
          </cell>
          <cell r="E354">
            <v>0</v>
          </cell>
          <cell r="F354">
            <v>0</v>
          </cell>
          <cell r="G354">
            <v>0</v>
          </cell>
          <cell r="H354">
            <v>0</v>
          </cell>
          <cell r="I354">
            <v>0</v>
          </cell>
          <cell r="J354">
            <v>0</v>
          </cell>
          <cell r="K354">
            <v>9</v>
          </cell>
          <cell r="L354">
            <v>0</v>
          </cell>
          <cell r="M354">
            <v>0</v>
          </cell>
        </row>
        <row r="355">
          <cell r="C355">
            <v>0</v>
          </cell>
          <cell r="D355">
            <v>0</v>
          </cell>
          <cell r="E355">
            <v>0</v>
          </cell>
          <cell r="F355">
            <v>0</v>
          </cell>
          <cell r="G355">
            <v>0</v>
          </cell>
          <cell r="H355">
            <v>0</v>
          </cell>
          <cell r="I355">
            <v>0</v>
          </cell>
          <cell r="J355">
            <v>0</v>
          </cell>
          <cell r="K355">
            <v>9</v>
          </cell>
          <cell r="L355">
            <v>0</v>
          </cell>
          <cell r="M355">
            <v>0</v>
          </cell>
        </row>
        <row r="356">
          <cell r="C356">
            <v>0</v>
          </cell>
          <cell r="D356">
            <v>0</v>
          </cell>
          <cell r="E356">
            <v>0</v>
          </cell>
          <cell r="F356">
            <v>0</v>
          </cell>
          <cell r="G356">
            <v>0</v>
          </cell>
          <cell r="H356">
            <v>0</v>
          </cell>
          <cell r="I356">
            <v>0</v>
          </cell>
          <cell r="J356">
            <v>0</v>
          </cell>
          <cell r="K356">
            <v>9</v>
          </cell>
          <cell r="L356">
            <v>0</v>
          </cell>
          <cell r="M356">
            <v>0</v>
          </cell>
        </row>
        <row r="357">
          <cell r="C357">
            <v>0</v>
          </cell>
          <cell r="D357">
            <v>0</v>
          </cell>
          <cell r="E357">
            <v>0</v>
          </cell>
          <cell r="F357">
            <v>0</v>
          </cell>
          <cell r="G357">
            <v>0</v>
          </cell>
          <cell r="H357">
            <v>0</v>
          </cell>
          <cell r="I357">
            <v>0</v>
          </cell>
          <cell r="J357">
            <v>0</v>
          </cell>
          <cell r="K357">
            <v>9</v>
          </cell>
          <cell r="L357">
            <v>0</v>
          </cell>
          <cell r="M357">
            <v>0</v>
          </cell>
        </row>
        <row r="358">
          <cell r="C358">
            <v>0</v>
          </cell>
          <cell r="D358">
            <v>0</v>
          </cell>
          <cell r="E358">
            <v>0</v>
          </cell>
          <cell r="F358">
            <v>0</v>
          </cell>
          <cell r="G358">
            <v>0</v>
          </cell>
          <cell r="H358">
            <v>0</v>
          </cell>
          <cell r="I358">
            <v>0</v>
          </cell>
          <cell r="J358">
            <v>0</v>
          </cell>
          <cell r="K358">
            <v>9</v>
          </cell>
          <cell r="L358">
            <v>0</v>
          </cell>
          <cell r="M358">
            <v>0</v>
          </cell>
        </row>
        <row r="359">
          <cell r="C359">
            <v>0</v>
          </cell>
          <cell r="D359">
            <v>0</v>
          </cell>
          <cell r="E359">
            <v>0</v>
          </cell>
          <cell r="F359">
            <v>0</v>
          </cell>
          <cell r="G359">
            <v>0</v>
          </cell>
          <cell r="H359">
            <v>0</v>
          </cell>
          <cell r="I359">
            <v>0</v>
          </cell>
          <cell r="J359">
            <v>0</v>
          </cell>
          <cell r="K359">
            <v>9</v>
          </cell>
          <cell r="L359">
            <v>0</v>
          </cell>
          <cell r="M359">
            <v>0</v>
          </cell>
        </row>
        <row r="360">
          <cell r="C360">
            <v>0</v>
          </cell>
          <cell r="D360">
            <v>0</v>
          </cell>
          <cell r="E360">
            <v>0</v>
          </cell>
          <cell r="F360">
            <v>0</v>
          </cell>
          <cell r="G360">
            <v>0</v>
          </cell>
          <cell r="H360">
            <v>0</v>
          </cell>
          <cell r="I360">
            <v>0</v>
          </cell>
          <cell r="J360">
            <v>0</v>
          </cell>
          <cell r="K360">
            <v>9</v>
          </cell>
          <cell r="L360">
            <v>0</v>
          </cell>
          <cell r="M360">
            <v>0</v>
          </cell>
        </row>
        <row r="361">
          <cell r="C361">
            <v>0</v>
          </cell>
          <cell r="D361">
            <v>0</v>
          </cell>
          <cell r="E361">
            <v>0</v>
          </cell>
          <cell r="F361">
            <v>0</v>
          </cell>
          <cell r="G361">
            <v>0</v>
          </cell>
          <cell r="H361">
            <v>0</v>
          </cell>
          <cell r="I361">
            <v>0</v>
          </cell>
          <cell r="J361">
            <v>0</v>
          </cell>
          <cell r="K361">
            <v>9</v>
          </cell>
          <cell r="L361">
            <v>0</v>
          </cell>
          <cell r="M361">
            <v>0</v>
          </cell>
        </row>
        <row r="362">
          <cell r="C362">
            <v>0</v>
          </cell>
          <cell r="D362">
            <v>0</v>
          </cell>
          <cell r="E362">
            <v>0</v>
          </cell>
          <cell r="F362">
            <v>0</v>
          </cell>
          <cell r="G362">
            <v>0</v>
          </cell>
          <cell r="H362">
            <v>0</v>
          </cell>
          <cell r="I362">
            <v>0</v>
          </cell>
          <cell r="J362">
            <v>0</v>
          </cell>
          <cell r="K362">
            <v>9</v>
          </cell>
          <cell r="L362">
            <v>0</v>
          </cell>
          <cell r="M362">
            <v>0</v>
          </cell>
        </row>
        <row r="363">
          <cell r="C363">
            <v>0</v>
          </cell>
          <cell r="D363">
            <v>0</v>
          </cell>
          <cell r="E363">
            <v>0</v>
          </cell>
          <cell r="F363">
            <v>0</v>
          </cell>
          <cell r="G363">
            <v>0</v>
          </cell>
          <cell r="H363">
            <v>0</v>
          </cell>
          <cell r="I363">
            <v>0</v>
          </cell>
          <cell r="J363">
            <v>0</v>
          </cell>
          <cell r="K363">
            <v>9</v>
          </cell>
          <cell r="L363">
            <v>0</v>
          </cell>
          <cell r="M363">
            <v>0</v>
          </cell>
        </row>
        <row r="364">
          <cell r="C364">
            <v>0</v>
          </cell>
          <cell r="D364">
            <v>0</v>
          </cell>
          <cell r="E364">
            <v>0</v>
          </cell>
          <cell r="F364">
            <v>0</v>
          </cell>
          <cell r="G364">
            <v>0</v>
          </cell>
          <cell r="H364">
            <v>0</v>
          </cell>
          <cell r="I364">
            <v>0</v>
          </cell>
          <cell r="J364">
            <v>0</v>
          </cell>
          <cell r="K364">
            <v>9</v>
          </cell>
          <cell r="L364">
            <v>0</v>
          </cell>
          <cell r="M364">
            <v>0</v>
          </cell>
        </row>
        <row r="365">
          <cell r="C365">
            <v>0</v>
          </cell>
          <cell r="D365">
            <v>0</v>
          </cell>
          <cell r="E365">
            <v>0</v>
          </cell>
          <cell r="F365">
            <v>0</v>
          </cell>
          <cell r="G365">
            <v>0</v>
          </cell>
          <cell r="H365">
            <v>0</v>
          </cell>
          <cell r="I365">
            <v>0</v>
          </cell>
          <cell r="J365">
            <v>0</v>
          </cell>
          <cell r="K365">
            <v>9</v>
          </cell>
          <cell r="L365">
            <v>0</v>
          </cell>
          <cell r="M365">
            <v>0</v>
          </cell>
        </row>
        <row r="366">
          <cell r="C366">
            <v>0</v>
          </cell>
          <cell r="D366">
            <v>0</v>
          </cell>
          <cell r="E366">
            <v>0</v>
          </cell>
          <cell r="F366">
            <v>0</v>
          </cell>
          <cell r="G366">
            <v>0</v>
          </cell>
          <cell r="H366">
            <v>0</v>
          </cell>
          <cell r="I366">
            <v>0</v>
          </cell>
          <cell r="J366">
            <v>0</v>
          </cell>
          <cell r="K366">
            <v>9</v>
          </cell>
          <cell r="L366">
            <v>0</v>
          </cell>
          <cell r="M366">
            <v>0</v>
          </cell>
        </row>
        <row r="367">
          <cell r="C367">
            <v>0</v>
          </cell>
          <cell r="D367">
            <v>0</v>
          </cell>
          <cell r="E367">
            <v>0</v>
          </cell>
          <cell r="F367">
            <v>0</v>
          </cell>
          <cell r="G367">
            <v>0</v>
          </cell>
          <cell r="H367">
            <v>0</v>
          </cell>
          <cell r="I367">
            <v>0</v>
          </cell>
          <cell r="J367">
            <v>0</v>
          </cell>
          <cell r="K367">
            <v>9</v>
          </cell>
          <cell r="L367">
            <v>0</v>
          </cell>
          <cell r="M367">
            <v>0</v>
          </cell>
        </row>
        <row r="368">
          <cell r="C368">
            <v>0</v>
          </cell>
          <cell r="D368">
            <v>0</v>
          </cell>
          <cell r="E368">
            <v>0</v>
          </cell>
          <cell r="F368">
            <v>0</v>
          </cell>
          <cell r="G368">
            <v>0</v>
          </cell>
          <cell r="H368">
            <v>0</v>
          </cell>
          <cell r="I368">
            <v>0</v>
          </cell>
          <cell r="J368">
            <v>0</v>
          </cell>
          <cell r="K368">
            <v>9</v>
          </cell>
          <cell r="L368">
            <v>0</v>
          </cell>
          <cell r="M368">
            <v>0</v>
          </cell>
        </row>
        <row r="369">
          <cell r="C369">
            <v>0</v>
          </cell>
          <cell r="D369">
            <v>0</v>
          </cell>
          <cell r="E369">
            <v>0</v>
          </cell>
          <cell r="F369">
            <v>0</v>
          </cell>
          <cell r="G369">
            <v>0</v>
          </cell>
          <cell r="H369">
            <v>0</v>
          </cell>
          <cell r="I369">
            <v>0</v>
          </cell>
          <cell r="J369">
            <v>0</v>
          </cell>
          <cell r="K369">
            <v>9</v>
          </cell>
          <cell r="L369">
            <v>0</v>
          </cell>
          <cell r="M369">
            <v>0</v>
          </cell>
        </row>
        <row r="370">
          <cell r="C370">
            <v>0</v>
          </cell>
          <cell r="D370">
            <v>0</v>
          </cell>
          <cell r="E370">
            <v>0</v>
          </cell>
          <cell r="F370">
            <v>0</v>
          </cell>
          <cell r="G370">
            <v>0</v>
          </cell>
          <cell r="H370">
            <v>0</v>
          </cell>
          <cell r="I370">
            <v>0</v>
          </cell>
          <cell r="J370">
            <v>0</v>
          </cell>
          <cell r="K370">
            <v>9</v>
          </cell>
          <cell r="L370">
            <v>0</v>
          </cell>
          <cell r="M370">
            <v>0</v>
          </cell>
        </row>
        <row r="371">
          <cell r="C371">
            <v>0</v>
          </cell>
          <cell r="D371">
            <v>0</v>
          </cell>
          <cell r="E371">
            <v>0</v>
          </cell>
          <cell r="F371">
            <v>0</v>
          </cell>
          <cell r="G371">
            <v>0</v>
          </cell>
          <cell r="H371">
            <v>0</v>
          </cell>
          <cell r="I371">
            <v>0</v>
          </cell>
          <cell r="J371">
            <v>0</v>
          </cell>
          <cell r="K371">
            <v>9</v>
          </cell>
          <cell r="L371">
            <v>0</v>
          </cell>
          <cell r="M371">
            <v>0</v>
          </cell>
        </row>
        <row r="372">
          <cell r="C372">
            <v>0</v>
          </cell>
          <cell r="D372">
            <v>0</v>
          </cell>
          <cell r="E372">
            <v>0</v>
          </cell>
          <cell r="F372">
            <v>0</v>
          </cell>
          <cell r="G372">
            <v>0</v>
          </cell>
          <cell r="H372">
            <v>0</v>
          </cell>
          <cell r="I372">
            <v>0</v>
          </cell>
          <cell r="J372">
            <v>0</v>
          </cell>
          <cell r="K372">
            <v>9</v>
          </cell>
          <cell r="L372">
            <v>0</v>
          </cell>
          <cell r="M372">
            <v>0</v>
          </cell>
        </row>
        <row r="373">
          <cell r="C373">
            <v>0</v>
          </cell>
          <cell r="D373">
            <v>0</v>
          </cell>
          <cell r="E373">
            <v>0</v>
          </cell>
          <cell r="F373">
            <v>0</v>
          </cell>
          <cell r="G373">
            <v>0</v>
          </cell>
          <cell r="H373">
            <v>0</v>
          </cell>
          <cell r="I373">
            <v>0</v>
          </cell>
          <cell r="J373">
            <v>0</v>
          </cell>
          <cell r="K373">
            <v>9</v>
          </cell>
          <cell r="L373">
            <v>0</v>
          </cell>
          <cell r="M373">
            <v>0</v>
          </cell>
        </row>
        <row r="374">
          <cell r="C374">
            <v>0</v>
          </cell>
          <cell r="D374">
            <v>0</v>
          </cell>
          <cell r="E374">
            <v>0</v>
          </cell>
          <cell r="F374">
            <v>0</v>
          </cell>
          <cell r="G374">
            <v>0</v>
          </cell>
          <cell r="H374">
            <v>0</v>
          </cell>
          <cell r="I374">
            <v>0</v>
          </cell>
          <cell r="J374">
            <v>0</v>
          </cell>
          <cell r="K374">
            <v>9</v>
          </cell>
          <cell r="L374">
            <v>0</v>
          </cell>
          <cell r="M374">
            <v>0</v>
          </cell>
        </row>
        <row r="375">
          <cell r="C375">
            <v>0</v>
          </cell>
          <cell r="D375">
            <v>0</v>
          </cell>
          <cell r="E375">
            <v>0</v>
          </cell>
          <cell r="F375">
            <v>0</v>
          </cell>
          <cell r="G375">
            <v>0</v>
          </cell>
          <cell r="H375">
            <v>0</v>
          </cell>
          <cell r="I375">
            <v>0</v>
          </cell>
          <cell r="J375">
            <v>0</v>
          </cell>
          <cell r="K375">
            <v>9</v>
          </cell>
          <cell r="L375">
            <v>0</v>
          </cell>
          <cell r="M375">
            <v>0</v>
          </cell>
        </row>
        <row r="376">
          <cell r="C376">
            <v>0</v>
          </cell>
          <cell r="D376">
            <v>0</v>
          </cell>
          <cell r="E376">
            <v>0</v>
          </cell>
          <cell r="F376">
            <v>0</v>
          </cell>
          <cell r="G376">
            <v>0</v>
          </cell>
          <cell r="H376">
            <v>0</v>
          </cell>
          <cell r="I376">
            <v>0</v>
          </cell>
          <cell r="J376">
            <v>0</v>
          </cell>
          <cell r="K376">
            <v>9</v>
          </cell>
          <cell r="L376">
            <v>0</v>
          </cell>
          <cell r="M376">
            <v>0</v>
          </cell>
        </row>
        <row r="377">
          <cell r="C377">
            <v>0</v>
          </cell>
          <cell r="D377">
            <v>0</v>
          </cell>
          <cell r="E377">
            <v>0</v>
          </cell>
          <cell r="F377">
            <v>0</v>
          </cell>
          <cell r="G377">
            <v>0</v>
          </cell>
          <cell r="H377">
            <v>0</v>
          </cell>
          <cell r="I377">
            <v>0</v>
          </cell>
          <cell r="J377">
            <v>0</v>
          </cell>
          <cell r="K377">
            <v>9</v>
          </cell>
          <cell r="L377">
            <v>0</v>
          </cell>
          <cell r="M377">
            <v>0</v>
          </cell>
        </row>
        <row r="378">
          <cell r="C378">
            <v>0</v>
          </cell>
          <cell r="D378">
            <v>0</v>
          </cell>
          <cell r="E378">
            <v>0</v>
          </cell>
          <cell r="F378">
            <v>0</v>
          </cell>
          <cell r="G378">
            <v>0</v>
          </cell>
          <cell r="H378">
            <v>0</v>
          </cell>
          <cell r="I378">
            <v>0</v>
          </cell>
          <cell r="J378">
            <v>0</v>
          </cell>
          <cell r="K378">
            <v>9</v>
          </cell>
          <cell r="L378">
            <v>0</v>
          </cell>
          <cell r="M378">
            <v>0</v>
          </cell>
        </row>
        <row r="379">
          <cell r="C379">
            <v>0</v>
          </cell>
          <cell r="D379">
            <v>0</v>
          </cell>
          <cell r="E379">
            <v>0</v>
          </cell>
          <cell r="F379">
            <v>0</v>
          </cell>
          <cell r="G379">
            <v>0</v>
          </cell>
          <cell r="H379">
            <v>0</v>
          </cell>
          <cell r="I379">
            <v>0</v>
          </cell>
          <cell r="J379">
            <v>0</v>
          </cell>
          <cell r="K379">
            <v>9</v>
          </cell>
          <cell r="L379">
            <v>0</v>
          </cell>
          <cell r="M379">
            <v>0</v>
          </cell>
        </row>
        <row r="380">
          <cell r="C380">
            <v>0</v>
          </cell>
          <cell r="D380">
            <v>0</v>
          </cell>
          <cell r="E380">
            <v>0</v>
          </cell>
          <cell r="F380">
            <v>0</v>
          </cell>
          <cell r="G380">
            <v>0</v>
          </cell>
          <cell r="H380">
            <v>0</v>
          </cell>
          <cell r="I380">
            <v>0</v>
          </cell>
          <cell r="J380">
            <v>0</v>
          </cell>
          <cell r="K380">
            <v>9</v>
          </cell>
          <cell r="L380">
            <v>0</v>
          </cell>
          <cell r="M380">
            <v>0</v>
          </cell>
        </row>
        <row r="381">
          <cell r="C381">
            <v>0</v>
          </cell>
          <cell r="D381">
            <v>0</v>
          </cell>
          <cell r="E381">
            <v>0</v>
          </cell>
          <cell r="F381">
            <v>0</v>
          </cell>
          <cell r="G381">
            <v>0</v>
          </cell>
          <cell r="H381">
            <v>0</v>
          </cell>
          <cell r="I381">
            <v>0</v>
          </cell>
          <cell r="J381">
            <v>0</v>
          </cell>
          <cell r="K381">
            <v>9</v>
          </cell>
          <cell r="L381">
            <v>0</v>
          </cell>
          <cell r="M381">
            <v>0</v>
          </cell>
        </row>
        <row r="382">
          <cell r="C382">
            <v>0</v>
          </cell>
          <cell r="D382">
            <v>0</v>
          </cell>
          <cell r="E382">
            <v>0</v>
          </cell>
          <cell r="F382">
            <v>0</v>
          </cell>
          <cell r="G382">
            <v>0</v>
          </cell>
          <cell r="H382">
            <v>0</v>
          </cell>
          <cell r="I382">
            <v>0</v>
          </cell>
          <cell r="J382">
            <v>0</v>
          </cell>
          <cell r="K382">
            <v>9</v>
          </cell>
          <cell r="L382">
            <v>0</v>
          </cell>
          <cell r="M382">
            <v>0</v>
          </cell>
        </row>
        <row r="383">
          <cell r="C383">
            <v>0</v>
          </cell>
          <cell r="D383">
            <v>0</v>
          </cell>
          <cell r="E383">
            <v>0</v>
          </cell>
          <cell r="F383">
            <v>0</v>
          </cell>
          <cell r="G383">
            <v>0</v>
          </cell>
          <cell r="H383">
            <v>0</v>
          </cell>
          <cell r="I383">
            <v>0</v>
          </cell>
          <cell r="J383">
            <v>0</v>
          </cell>
          <cell r="K383">
            <v>9</v>
          </cell>
          <cell r="L383">
            <v>0</v>
          </cell>
          <cell r="M383">
            <v>0</v>
          </cell>
        </row>
        <row r="384">
          <cell r="C384">
            <v>0</v>
          </cell>
          <cell r="D384">
            <v>0</v>
          </cell>
          <cell r="E384">
            <v>0</v>
          </cell>
          <cell r="F384">
            <v>0</v>
          </cell>
          <cell r="G384">
            <v>0</v>
          </cell>
          <cell r="H384">
            <v>0</v>
          </cell>
          <cell r="I384">
            <v>0</v>
          </cell>
          <cell r="J384">
            <v>0</v>
          </cell>
          <cell r="K384">
            <v>9</v>
          </cell>
          <cell r="L384">
            <v>0</v>
          </cell>
          <cell r="M384">
            <v>0</v>
          </cell>
        </row>
        <row r="385">
          <cell r="C385">
            <v>0</v>
          </cell>
          <cell r="D385">
            <v>0</v>
          </cell>
          <cell r="E385">
            <v>0</v>
          </cell>
          <cell r="F385">
            <v>0</v>
          </cell>
          <cell r="G385">
            <v>0</v>
          </cell>
          <cell r="H385">
            <v>0</v>
          </cell>
          <cell r="I385">
            <v>0</v>
          </cell>
          <cell r="J385">
            <v>0</v>
          </cell>
          <cell r="K385">
            <v>9</v>
          </cell>
          <cell r="L385">
            <v>0</v>
          </cell>
          <cell r="M385">
            <v>0</v>
          </cell>
        </row>
        <row r="386">
          <cell r="C386">
            <v>0</v>
          </cell>
          <cell r="D386">
            <v>0</v>
          </cell>
          <cell r="E386">
            <v>0</v>
          </cell>
          <cell r="F386">
            <v>0</v>
          </cell>
          <cell r="G386">
            <v>0</v>
          </cell>
          <cell r="H386">
            <v>0</v>
          </cell>
          <cell r="I386">
            <v>0</v>
          </cell>
          <cell r="J386">
            <v>0</v>
          </cell>
          <cell r="K386">
            <v>9</v>
          </cell>
          <cell r="L386">
            <v>0</v>
          </cell>
          <cell r="M386">
            <v>0</v>
          </cell>
        </row>
        <row r="387">
          <cell r="C387">
            <v>0</v>
          </cell>
          <cell r="D387">
            <v>0</v>
          </cell>
          <cell r="E387">
            <v>0</v>
          </cell>
          <cell r="F387">
            <v>0</v>
          </cell>
          <cell r="G387">
            <v>0</v>
          </cell>
          <cell r="H387">
            <v>0</v>
          </cell>
          <cell r="I387">
            <v>0</v>
          </cell>
          <cell r="J387">
            <v>0</v>
          </cell>
          <cell r="K387">
            <v>9</v>
          </cell>
          <cell r="L387">
            <v>0</v>
          </cell>
          <cell r="M387">
            <v>0</v>
          </cell>
        </row>
        <row r="388">
          <cell r="C388">
            <v>0</v>
          </cell>
          <cell r="D388">
            <v>0</v>
          </cell>
          <cell r="E388">
            <v>0</v>
          </cell>
          <cell r="F388">
            <v>0</v>
          </cell>
          <cell r="G388">
            <v>0</v>
          </cell>
          <cell r="H388">
            <v>0</v>
          </cell>
          <cell r="I388">
            <v>0</v>
          </cell>
          <cell r="J388">
            <v>0</v>
          </cell>
          <cell r="K388">
            <v>9</v>
          </cell>
          <cell r="L388">
            <v>0</v>
          </cell>
          <cell r="M388">
            <v>0</v>
          </cell>
        </row>
        <row r="389">
          <cell r="C389">
            <v>0</v>
          </cell>
          <cell r="D389">
            <v>0</v>
          </cell>
          <cell r="E389">
            <v>0</v>
          </cell>
          <cell r="F389">
            <v>0</v>
          </cell>
          <cell r="G389">
            <v>0</v>
          </cell>
          <cell r="H389">
            <v>0</v>
          </cell>
          <cell r="I389">
            <v>0</v>
          </cell>
          <cell r="J389">
            <v>0</v>
          </cell>
          <cell r="K389">
            <v>9</v>
          </cell>
          <cell r="L389">
            <v>0</v>
          </cell>
          <cell r="M389">
            <v>0</v>
          </cell>
        </row>
        <row r="390">
          <cell r="C390">
            <v>0</v>
          </cell>
          <cell r="D390">
            <v>0</v>
          </cell>
          <cell r="E390">
            <v>0</v>
          </cell>
          <cell r="F390">
            <v>0</v>
          </cell>
          <cell r="G390">
            <v>0</v>
          </cell>
          <cell r="H390">
            <v>0</v>
          </cell>
          <cell r="I390">
            <v>0</v>
          </cell>
          <cell r="J390">
            <v>0</v>
          </cell>
          <cell r="K390">
            <v>9</v>
          </cell>
          <cell r="L390">
            <v>0</v>
          </cell>
          <cell r="M390">
            <v>0</v>
          </cell>
        </row>
        <row r="391">
          <cell r="C391">
            <v>0</v>
          </cell>
          <cell r="D391">
            <v>0</v>
          </cell>
          <cell r="E391">
            <v>0</v>
          </cell>
          <cell r="F391">
            <v>0</v>
          </cell>
          <cell r="G391">
            <v>0</v>
          </cell>
          <cell r="H391">
            <v>0</v>
          </cell>
          <cell r="I391">
            <v>0</v>
          </cell>
          <cell r="J391">
            <v>0</v>
          </cell>
          <cell r="K391">
            <v>9</v>
          </cell>
          <cell r="L391">
            <v>0</v>
          </cell>
          <cell r="M391">
            <v>0</v>
          </cell>
        </row>
        <row r="392">
          <cell r="C392">
            <v>0</v>
          </cell>
          <cell r="D392">
            <v>0</v>
          </cell>
          <cell r="E392">
            <v>0</v>
          </cell>
          <cell r="F392">
            <v>0</v>
          </cell>
          <cell r="G392">
            <v>0</v>
          </cell>
          <cell r="H392">
            <v>0</v>
          </cell>
          <cell r="I392">
            <v>0</v>
          </cell>
          <cell r="J392">
            <v>0</v>
          </cell>
          <cell r="K392">
            <v>9</v>
          </cell>
          <cell r="L392">
            <v>0</v>
          </cell>
          <cell r="M392">
            <v>0</v>
          </cell>
        </row>
        <row r="393">
          <cell r="C393">
            <v>0</v>
          </cell>
          <cell r="D393">
            <v>0</v>
          </cell>
          <cell r="E393">
            <v>0</v>
          </cell>
          <cell r="F393">
            <v>0</v>
          </cell>
          <cell r="G393">
            <v>0</v>
          </cell>
          <cell r="H393">
            <v>0</v>
          </cell>
          <cell r="I393">
            <v>0</v>
          </cell>
          <cell r="J393">
            <v>0</v>
          </cell>
          <cell r="K393">
            <v>9</v>
          </cell>
          <cell r="L393">
            <v>0</v>
          </cell>
          <cell r="M393">
            <v>0</v>
          </cell>
        </row>
        <row r="394">
          <cell r="C394">
            <v>0</v>
          </cell>
          <cell r="D394">
            <v>0</v>
          </cell>
          <cell r="E394">
            <v>0</v>
          </cell>
          <cell r="F394">
            <v>0</v>
          </cell>
          <cell r="G394">
            <v>0</v>
          </cell>
          <cell r="H394">
            <v>0</v>
          </cell>
          <cell r="I394">
            <v>0</v>
          </cell>
          <cell r="J394">
            <v>0</v>
          </cell>
          <cell r="K394">
            <v>9</v>
          </cell>
          <cell r="L394">
            <v>0</v>
          </cell>
          <cell r="M394">
            <v>0</v>
          </cell>
        </row>
        <row r="395">
          <cell r="C395">
            <v>0</v>
          </cell>
          <cell r="D395">
            <v>0</v>
          </cell>
          <cell r="E395">
            <v>0</v>
          </cell>
          <cell r="F395">
            <v>0</v>
          </cell>
          <cell r="G395">
            <v>0</v>
          </cell>
          <cell r="H395">
            <v>0</v>
          </cell>
          <cell r="I395">
            <v>0</v>
          </cell>
          <cell r="J395">
            <v>0</v>
          </cell>
          <cell r="K395">
            <v>9</v>
          </cell>
          <cell r="L395">
            <v>0</v>
          </cell>
          <cell r="M395">
            <v>0</v>
          </cell>
        </row>
        <row r="396">
          <cell r="C396">
            <v>0</v>
          </cell>
          <cell r="D396">
            <v>0</v>
          </cell>
          <cell r="E396">
            <v>0</v>
          </cell>
          <cell r="F396">
            <v>0</v>
          </cell>
          <cell r="G396">
            <v>0</v>
          </cell>
          <cell r="H396">
            <v>0</v>
          </cell>
          <cell r="I396">
            <v>0</v>
          </cell>
          <cell r="J396">
            <v>0</v>
          </cell>
          <cell r="K396">
            <v>9</v>
          </cell>
          <cell r="L396">
            <v>0</v>
          </cell>
          <cell r="M396">
            <v>0</v>
          </cell>
        </row>
        <row r="397">
          <cell r="C397">
            <v>0</v>
          </cell>
          <cell r="D397">
            <v>0</v>
          </cell>
          <cell r="E397">
            <v>0</v>
          </cell>
          <cell r="F397">
            <v>0</v>
          </cell>
          <cell r="G397">
            <v>0</v>
          </cell>
          <cell r="H397">
            <v>0</v>
          </cell>
          <cell r="I397">
            <v>0</v>
          </cell>
          <cell r="J397">
            <v>0</v>
          </cell>
          <cell r="K397">
            <v>9</v>
          </cell>
          <cell r="L397">
            <v>0</v>
          </cell>
          <cell r="M397">
            <v>0</v>
          </cell>
        </row>
        <row r="398">
          <cell r="C398">
            <v>0</v>
          </cell>
          <cell r="D398">
            <v>0</v>
          </cell>
          <cell r="E398">
            <v>0</v>
          </cell>
          <cell r="F398">
            <v>0</v>
          </cell>
          <cell r="G398">
            <v>0</v>
          </cell>
          <cell r="H398">
            <v>0</v>
          </cell>
          <cell r="I398">
            <v>0</v>
          </cell>
          <cell r="J398">
            <v>0</v>
          </cell>
          <cell r="K398">
            <v>9</v>
          </cell>
          <cell r="L398">
            <v>0</v>
          </cell>
          <cell r="M398">
            <v>0</v>
          </cell>
        </row>
        <row r="399">
          <cell r="C399">
            <v>0</v>
          </cell>
          <cell r="D399">
            <v>0</v>
          </cell>
          <cell r="E399">
            <v>0</v>
          </cell>
          <cell r="F399">
            <v>0</v>
          </cell>
          <cell r="G399">
            <v>0</v>
          </cell>
          <cell r="H399">
            <v>0</v>
          </cell>
          <cell r="I399">
            <v>0</v>
          </cell>
          <cell r="J399">
            <v>0</v>
          </cell>
          <cell r="K399">
            <v>9</v>
          </cell>
          <cell r="L399">
            <v>0</v>
          </cell>
          <cell r="M399">
            <v>0</v>
          </cell>
        </row>
        <row r="400">
          <cell r="C400">
            <v>0</v>
          </cell>
          <cell r="D400">
            <v>0</v>
          </cell>
          <cell r="E400">
            <v>0</v>
          </cell>
          <cell r="F400">
            <v>0</v>
          </cell>
          <cell r="G400">
            <v>0</v>
          </cell>
          <cell r="H400">
            <v>0</v>
          </cell>
          <cell r="I400">
            <v>0</v>
          </cell>
          <cell r="J400">
            <v>0</v>
          </cell>
          <cell r="K400">
            <v>9</v>
          </cell>
          <cell r="L400">
            <v>0</v>
          </cell>
          <cell r="M400">
            <v>0</v>
          </cell>
        </row>
        <row r="401">
          <cell r="C401">
            <v>0</v>
          </cell>
          <cell r="D401">
            <v>0</v>
          </cell>
          <cell r="E401">
            <v>0</v>
          </cell>
          <cell r="F401">
            <v>0</v>
          </cell>
          <cell r="G401">
            <v>0</v>
          </cell>
          <cell r="H401">
            <v>0</v>
          </cell>
          <cell r="I401">
            <v>0</v>
          </cell>
          <cell r="J401">
            <v>0</v>
          </cell>
          <cell r="K401">
            <v>9</v>
          </cell>
          <cell r="L401">
            <v>0</v>
          </cell>
          <cell r="M401">
            <v>0</v>
          </cell>
        </row>
        <row r="402">
          <cell r="C402">
            <v>0</v>
          </cell>
          <cell r="D402">
            <v>0</v>
          </cell>
          <cell r="E402">
            <v>0</v>
          </cell>
          <cell r="F402">
            <v>0</v>
          </cell>
          <cell r="G402">
            <v>0</v>
          </cell>
          <cell r="H402">
            <v>0</v>
          </cell>
          <cell r="I402">
            <v>0</v>
          </cell>
          <cell r="J402">
            <v>0</v>
          </cell>
          <cell r="K402">
            <v>9</v>
          </cell>
          <cell r="L402">
            <v>0</v>
          </cell>
          <cell r="M402">
            <v>0</v>
          </cell>
        </row>
        <row r="403">
          <cell r="C403">
            <v>0</v>
          </cell>
          <cell r="D403">
            <v>0</v>
          </cell>
          <cell r="E403">
            <v>0</v>
          </cell>
          <cell r="F403">
            <v>0</v>
          </cell>
          <cell r="G403">
            <v>0</v>
          </cell>
          <cell r="H403">
            <v>0</v>
          </cell>
          <cell r="I403">
            <v>0</v>
          </cell>
          <cell r="J403">
            <v>0</v>
          </cell>
          <cell r="K403">
            <v>9</v>
          </cell>
          <cell r="L403">
            <v>0</v>
          </cell>
          <cell r="M403">
            <v>0</v>
          </cell>
        </row>
        <row r="404">
          <cell r="C404">
            <v>0</v>
          </cell>
          <cell r="D404">
            <v>0</v>
          </cell>
          <cell r="E404">
            <v>0</v>
          </cell>
          <cell r="F404">
            <v>0</v>
          </cell>
          <cell r="G404">
            <v>0</v>
          </cell>
          <cell r="H404">
            <v>0</v>
          </cell>
          <cell r="I404">
            <v>0</v>
          </cell>
          <cell r="J404">
            <v>0</v>
          </cell>
          <cell r="K404">
            <v>9</v>
          </cell>
          <cell r="L404">
            <v>0</v>
          </cell>
          <cell r="M404">
            <v>0</v>
          </cell>
        </row>
        <row r="405">
          <cell r="C405">
            <v>0</v>
          </cell>
          <cell r="D405">
            <v>0</v>
          </cell>
          <cell r="E405">
            <v>0</v>
          </cell>
          <cell r="F405">
            <v>0</v>
          </cell>
          <cell r="G405">
            <v>0</v>
          </cell>
          <cell r="H405">
            <v>0</v>
          </cell>
          <cell r="I405">
            <v>0</v>
          </cell>
          <cell r="J405">
            <v>0</v>
          </cell>
          <cell r="K405">
            <v>9</v>
          </cell>
          <cell r="L405">
            <v>0</v>
          </cell>
          <cell r="M405">
            <v>0</v>
          </cell>
        </row>
        <row r="406">
          <cell r="C406">
            <v>0</v>
          </cell>
          <cell r="D406">
            <v>0</v>
          </cell>
          <cell r="E406">
            <v>0</v>
          </cell>
          <cell r="F406">
            <v>0</v>
          </cell>
          <cell r="G406">
            <v>0</v>
          </cell>
          <cell r="H406">
            <v>0</v>
          </cell>
          <cell r="I406">
            <v>0</v>
          </cell>
          <cell r="J406">
            <v>0</v>
          </cell>
          <cell r="K406">
            <v>9</v>
          </cell>
          <cell r="L406">
            <v>0</v>
          </cell>
          <cell r="M406">
            <v>0</v>
          </cell>
        </row>
        <row r="407">
          <cell r="C407">
            <v>0</v>
          </cell>
          <cell r="D407">
            <v>0</v>
          </cell>
          <cell r="E407">
            <v>0</v>
          </cell>
          <cell r="F407">
            <v>0</v>
          </cell>
          <cell r="G407">
            <v>0</v>
          </cell>
          <cell r="H407">
            <v>0</v>
          </cell>
          <cell r="I407">
            <v>0</v>
          </cell>
          <cell r="J407">
            <v>0</v>
          </cell>
          <cell r="K407">
            <v>9</v>
          </cell>
          <cell r="L407">
            <v>0</v>
          </cell>
          <cell r="M407">
            <v>0</v>
          </cell>
        </row>
        <row r="408">
          <cell r="C408">
            <v>0</v>
          </cell>
          <cell r="D408">
            <v>0</v>
          </cell>
          <cell r="E408">
            <v>0</v>
          </cell>
          <cell r="F408">
            <v>0</v>
          </cell>
          <cell r="G408">
            <v>0</v>
          </cell>
          <cell r="H408">
            <v>0</v>
          </cell>
          <cell r="I408">
            <v>0</v>
          </cell>
          <cell r="J408">
            <v>0</v>
          </cell>
          <cell r="K408">
            <v>9</v>
          </cell>
          <cell r="L408">
            <v>0</v>
          </cell>
          <cell r="M408">
            <v>0</v>
          </cell>
        </row>
        <row r="409">
          <cell r="C409">
            <v>0</v>
          </cell>
          <cell r="D409">
            <v>0</v>
          </cell>
          <cell r="E409">
            <v>0</v>
          </cell>
          <cell r="F409">
            <v>0</v>
          </cell>
          <cell r="G409">
            <v>0</v>
          </cell>
          <cell r="H409">
            <v>0</v>
          </cell>
          <cell r="I409">
            <v>0</v>
          </cell>
          <cell r="J409">
            <v>0</v>
          </cell>
          <cell r="K409">
            <v>9</v>
          </cell>
          <cell r="L409">
            <v>0</v>
          </cell>
          <cell r="M409">
            <v>0</v>
          </cell>
        </row>
        <row r="410">
          <cell r="C410">
            <v>0</v>
          </cell>
          <cell r="D410">
            <v>0</v>
          </cell>
          <cell r="E410">
            <v>0</v>
          </cell>
          <cell r="F410">
            <v>0</v>
          </cell>
          <cell r="G410">
            <v>0</v>
          </cell>
          <cell r="H410">
            <v>0</v>
          </cell>
          <cell r="I410">
            <v>0</v>
          </cell>
          <cell r="J410">
            <v>0</v>
          </cell>
          <cell r="K410">
            <v>9</v>
          </cell>
          <cell r="L410">
            <v>0</v>
          </cell>
          <cell r="M410">
            <v>0</v>
          </cell>
        </row>
        <row r="411">
          <cell r="C411">
            <v>0</v>
          </cell>
          <cell r="D411">
            <v>0</v>
          </cell>
          <cell r="E411">
            <v>0</v>
          </cell>
          <cell r="F411">
            <v>0</v>
          </cell>
          <cell r="G411">
            <v>0</v>
          </cell>
          <cell r="H411">
            <v>0</v>
          </cell>
          <cell r="I411">
            <v>0</v>
          </cell>
          <cell r="J411">
            <v>0</v>
          </cell>
          <cell r="K411">
            <v>9</v>
          </cell>
          <cell r="L411">
            <v>0</v>
          </cell>
          <cell r="M411">
            <v>0</v>
          </cell>
        </row>
        <row r="412">
          <cell r="C412">
            <v>0</v>
          </cell>
          <cell r="D412">
            <v>0</v>
          </cell>
          <cell r="E412">
            <v>0</v>
          </cell>
          <cell r="F412">
            <v>0</v>
          </cell>
          <cell r="G412">
            <v>0</v>
          </cell>
          <cell r="H412">
            <v>0</v>
          </cell>
          <cell r="I412">
            <v>0</v>
          </cell>
          <cell r="J412">
            <v>0</v>
          </cell>
          <cell r="K412">
            <v>9</v>
          </cell>
          <cell r="L412">
            <v>0</v>
          </cell>
          <cell r="M412">
            <v>0</v>
          </cell>
        </row>
        <row r="413">
          <cell r="C413">
            <v>0</v>
          </cell>
          <cell r="D413">
            <v>0</v>
          </cell>
          <cell r="E413">
            <v>0</v>
          </cell>
          <cell r="F413">
            <v>0</v>
          </cell>
          <cell r="G413">
            <v>0</v>
          </cell>
          <cell r="H413">
            <v>0</v>
          </cell>
          <cell r="I413">
            <v>0</v>
          </cell>
          <cell r="J413">
            <v>0</v>
          </cell>
          <cell r="K413">
            <v>9</v>
          </cell>
          <cell r="L413">
            <v>0</v>
          </cell>
          <cell r="M413">
            <v>0</v>
          </cell>
        </row>
        <row r="414">
          <cell r="C414">
            <v>0</v>
          </cell>
          <cell r="D414">
            <v>0</v>
          </cell>
          <cell r="E414">
            <v>0</v>
          </cell>
          <cell r="F414">
            <v>0</v>
          </cell>
          <cell r="G414">
            <v>0</v>
          </cell>
          <cell r="H414">
            <v>0</v>
          </cell>
          <cell r="I414">
            <v>0</v>
          </cell>
          <cell r="J414">
            <v>0</v>
          </cell>
          <cell r="K414">
            <v>9</v>
          </cell>
          <cell r="L414">
            <v>0</v>
          </cell>
          <cell r="M414">
            <v>0</v>
          </cell>
        </row>
        <row r="415">
          <cell r="C415">
            <v>0</v>
          </cell>
          <cell r="D415">
            <v>0</v>
          </cell>
          <cell r="E415">
            <v>0</v>
          </cell>
          <cell r="F415">
            <v>0</v>
          </cell>
          <cell r="G415">
            <v>0</v>
          </cell>
          <cell r="H415">
            <v>0</v>
          </cell>
          <cell r="I415">
            <v>0</v>
          </cell>
          <cell r="J415">
            <v>0</v>
          </cell>
          <cell r="K415">
            <v>9</v>
          </cell>
          <cell r="L415">
            <v>0</v>
          </cell>
          <cell r="M415">
            <v>0</v>
          </cell>
        </row>
        <row r="416">
          <cell r="C416">
            <v>0</v>
          </cell>
          <cell r="D416">
            <v>0</v>
          </cell>
          <cell r="E416">
            <v>0</v>
          </cell>
          <cell r="F416">
            <v>0</v>
          </cell>
          <cell r="G416">
            <v>0</v>
          </cell>
          <cell r="H416">
            <v>0</v>
          </cell>
          <cell r="I416">
            <v>0</v>
          </cell>
          <cell r="J416">
            <v>0</v>
          </cell>
          <cell r="K416">
            <v>9</v>
          </cell>
          <cell r="L416">
            <v>0</v>
          </cell>
          <cell r="M416">
            <v>0</v>
          </cell>
        </row>
        <row r="417">
          <cell r="C417">
            <v>0</v>
          </cell>
          <cell r="D417">
            <v>0</v>
          </cell>
          <cell r="E417">
            <v>0</v>
          </cell>
          <cell r="F417">
            <v>0</v>
          </cell>
          <cell r="G417">
            <v>0</v>
          </cell>
          <cell r="H417">
            <v>0</v>
          </cell>
          <cell r="I417">
            <v>0</v>
          </cell>
          <cell r="J417">
            <v>0</v>
          </cell>
          <cell r="K417">
            <v>9</v>
          </cell>
          <cell r="L417">
            <v>0</v>
          </cell>
          <cell r="M417">
            <v>0</v>
          </cell>
        </row>
        <row r="418">
          <cell r="C418">
            <v>0</v>
          </cell>
          <cell r="D418">
            <v>0</v>
          </cell>
          <cell r="E418">
            <v>0</v>
          </cell>
          <cell r="F418">
            <v>0</v>
          </cell>
          <cell r="G418">
            <v>0</v>
          </cell>
          <cell r="H418">
            <v>0</v>
          </cell>
          <cell r="I418">
            <v>0</v>
          </cell>
          <cell r="J418">
            <v>0</v>
          </cell>
          <cell r="K418">
            <v>9</v>
          </cell>
          <cell r="L418">
            <v>0</v>
          </cell>
          <cell r="M418">
            <v>0</v>
          </cell>
        </row>
        <row r="419">
          <cell r="C419">
            <v>0</v>
          </cell>
          <cell r="D419">
            <v>0</v>
          </cell>
          <cell r="E419">
            <v>0</v>
          </cell>
          <cell r="F419">
            <v>0</v>
          </cell>
          <cell r="G419">
            <v>0</v>
          </cell>
          <cell r="H419">
            <v>0</v>
          </cell>
          <cell r="I419">
            <v>0</v>
          </cell>
          <cell r="J419">
            <v>0</v>
          </cell>
          <cell r="K419">
            <v>9</v>
          </cell>
          <cell r="L419">
            <v>0</v>
          </cell>
          <cell r="M419">
            <v>0</v>
          </cell>
        </row>
        <row r="420">
          <cell r="C420">
            <v>0</v>
          </cell>
          <cell r="D420">
            <v>0</v>
          </cell>
          <cell r="E420">
            <v>0</v>
          </cell>
          <cell r="F420">
            <v>0</v>
          </cell>
          <cell r="G420">
            <v>0</v>
          </cell>
          <cell r="H420">
            <v>0</v>
          </cell>
          <cell r="I420">
            <v>0</v>
          </cell>
          <cell r="J420">
            <v>0</v>
          </cell>
          <cell r="K420">
            <v>9</v>
          </cell>
          <cell r="L420">
            <v>0</v>
          </cell>
          <cell r="M420">
            <v>0</v>
          </cell>
        </row>
        <row r="421">
          <cell r="C421">
            <v>0</v>
          </cell>
          <cell r="D421">
            <v>0</v>
          </cell>
          <cell r="E421">
            <v>0</v>
          </cell>
          <cell r="F421">
            <v>0</v>
          </cell>
          <cell r="G421">
            <v>0</v>
          </cell>
          <cell r="H421">
            <v>0</v>
          </cell>
          <cell r="I421">
            <v>0</v>
          </cell>
          <cell r="J421">
            <v>0</v>
          </cell>
          <cell r="K421">
            <v>9</v>
          </cell>
          <cell r="L421">
            <v>0</v>
          </cell>
          <cell r="M421">
            <v>0</v>
          </cell>
        </row>
        <row r="422">
          <cell r="C422">
            <v>0</v>
          </cell>
          <cell r="D422">
            <v>0</v>
          </cell>
          <cell r="E422">
            <v>0</v>
          </cell>
          <cell r="F422">
            <v>0</v>
          </cell>
          <cell r="G422">
            <v>0</v>
          </cell>
          <cell r="H422">
            <v>0</v>
          </cell>
          <cell r="I422">
            <v>0</v>
          </cell>
          <cell r="J422">
            <v>0</v>
          </cell>
          <cell r="K422">
            <v>9</v>
          </cell>
          <cell r="L422">
            <v>0</v>
          </cell>
          <cell r="M422">
            <v>0</v>
          </cell>
        </row>
        <row r="423">
          <cell r="C423">
            <v>0</v>
          </cell>
          <cell r="D423">
            <v>0</v>
          </cell>
          <cell r="E423">
            <v>0</v>
          </cell>
          <cell r="F423">
            <v>0</v>
          </cell>
          <cell r="G423">
            <v>0</v>
          </cell>
          <cell r="H423">
            <v>0</v>
          </cell>
          <cell r="I423">
            <v>0</v>
          </cell>
          <cell r="J423">
            <v>0</v>
          </cell>
          <cell r="K423">
            <v>9</v>
          </cell>
          <cell r="L423">
            <v>0</v>
          </cell>
          <cell r="M423">
            <v>0</v>
          </cell>
        </row>
        <row r="424">
          <cell r="C424">
            <v>0</v>
          </cell>
          <cell r="D424">
            <v>0</v>
          </cell>
          <cell r="E424">
            <v>0</v>
          </cell>
          <cell r="F424">
            <v>0</v>
          </cell>
          <cell r="G424">
            <v>0</v>
          </cell>
          <cell r="H424">
            <v>0</v>
          </cell>
          <cell r="I424">
            <v>0</v>
          </cell>
          <cell r="J424">
            <v>0</v>
          </cell>
          <cell r="K424">
            <v>9</v>
          </cell>
          <cell r="L424">
            <v>0</v>
          </cell>
          <cell r="M424">
            <v>0</v>
          </cell>
        </row>
        <row r="425">
          <cell r="C425">
            <v>0</v>
          </cell>
          <cell r="D425">
            <v>0</v>
          </cell>
          <cell r="E425">
            <v>0</v>
          </cell>
          <cell r="F425">
            <v>0</v>
          </cell>
          <cell r="G425">
            <v>0</v>
          </cell>
          <cell r="H425">
            <v>0</v>
          </cell>
          <cell r="I425">
            <v>0</v>
          </cell>
          <cell r="J425">
            <v>0</v>
          </cell>
          <cell r="K425">
            <v>9</v>
          </cell>
          <cell r="L425">
            <v>0</v>
          </cell>
          <cell r="M425">
            <v>0</v>
          </cell>
        </row>
        <row r="426">
          <cell r="C426">
            <v>0</v>
          </cell>
          <cell r="D426">
            <v>0</v>
          </cell>
          <cell r="E426">
            <v>0</v>
          </cell>
          <cell r="F426">
            <v>0</v>
          </cell>
          <cell r="G426">
            <v>0</v>
          </cell>
          <cell r="H426">
            <v>0</v>
          </cell>
          <cell r="I426">
            <v>0</v>
          </cell>
          <cell r="J426">
            <v>0</v>
          </cell>
          <cell r="K426">
            <v>9</v>
          </cell>
          <cell r="L426">
            <v>0</v>
          </cell>
          <cell r="M426">
            <v>0</v>
          </cell>
        </row>
        <row r="427">
          <cell r="C427">
            <v>0</v>
          </cell>
          <cell r="D427">
            <v>0</v>
          </cell>
          <cell r="E427">
            <v>0</v>
          </cell>
          <cell r="F427">
            <v>0</v>
          </cell>
          <cell r="G427">
            <v>0</v>
          </cell>
          <cell r="H427">
            <v>0</v>
          </cell>
          <cell r="I427">
            <v>0</v>
          </cell>
          <cell r="J427">
            <v>0</v>
          </cell>
          <cell r="K427">
            <v>9</v>
          </cell>
          <cell r="L427">
            <v>0</v>
          </cell>
          <cell r="M427">
            <v>0</v>
          </cell>
        </row>
        <row r="428">
          <cell r="C428">
            <v>0</v>
          </cell>
          <cell r="D428">
            <v>0</v>
          </cell>
          <cell r="E428">
            <v>0</v>
          </cell>
          <cell r="F428">
            <v>0</v>
          </cell>
          <cell r="G428">
            <v>0</v>
          </cell>
          <cell r="H428">
            <v>0</v>
          </cell>
          <cell r="I428">
            <v>0</v>
          </cell>
          <cell r="J428">
            <v>0</v>
          </cell>
          <cell r="K428">
            <v>9</v>
          </cell>
          <cell r="L428">
            <v>0</v>
          </cell>
          <cell r="M428">
            <v>0</v>
          </cell>
        </row>
        <row r="429">
          <cell r="C429">
            <v>0</v>
          </cell>
          <cell r="D429">
            <v>0</v>
          </cell>
          <cell r="E429">
            <v>0</v>
          </cell>
          <cell r="F429">
            <v>0</v>
          </cell>
          <cell r="G429">
            <v>0</v>
          </cell>
          <cell r="H429">
            <v>0</v>
          </cell>
          <cell r="I429">
            <v>0</v>
          </cell>
          <cell r="J429">
            <v>0</v>
          </cell>
          <cell r="K429">
            <v>9</v>
          </cell>
          <cell r="L429">
            <v>0</v>
          </cell>
          <cell r="M429">
            <v>0</v>
          </cell>
        </row>
        <row r="430">
          <cell r="C430">
            <v>0</v>
          </cell>
          <cell r="D430">
            <v>0</v>
          </cell>
          <cell r="E430">
            <v>0</v>
          </cell>
          <cell r="F430">
            <v>0</v>
          </cell>
          <cell r="G430">
            <v>0</v>
          </cell>
          <cell r="H430">
            <v>0</v>
          </cell>
          <cell r="I430">
            <v>0</v>
          </cell>
          <cell r="J430">
            <v>0</v>
          </cell>
          <cell r="K430">
            <v>9</v>
          </cell>
          <cell r="L430">
            <v>0</v>
          </cell>
          <cell r="M430">
            <v>0</v>
          </cell>
        </row>
        <row r="431">
          <cell r="C431">
            <v>0</v>
          </cell>
          <cell r="D431">
            <v>0</v>
          </cell>
          <cell r="E431">
            <v>0</v>
          </cell>
          <cell r="F431">
            <v>0</v>
          </cell>
          <cell r="G431">
            <v>0</v>
          </cell>
          <cell r="H431">
            <v>0</v>
          </cell>
          <cell r="I431">
            <v>0</v>
          </cell>
          <cell r="J431">
            <v>0</v>
          </cell>
          <cell r="K431">
            <v>9</v>
          </cell>
          <cell r="L431">
            <v>0</v>
          </cell>
          <cell r="M431">
            <v>0</v>
          </cell>
        </row>
        <row r="432">
          <cell r="C432">
            <v>0</v>
          </cell>
          <cell r="D432">
            <v>0</v>
          </cell>
          <cell r="E432">
            <v>0</v>
          </cell>
          <cell r="F432">
            <v>0</v>
          </cell>
          <cell r="G432">
            <v>0</v>
          </cell>
          <cell r="H432">
            <v>0</v>
          </cell>
          <cell r="I432">
            <v>0</v>
          </cell>
          <cell r="J432">
            <v>0</v>
          </cell>
          <cell r="K432">
            <v>9</v>
          </cell>
          <cell r="L432">
            <v>0</v>
          </cell>
          <cell r="M432">
            <v>0</v>
          </cell>
        </row>
        <row r="433">
          <cell r="C433">
            <v>0</v>
          </cell>
          <cell r="D433">
            <v>0</v>
          </cell>
          <cell r="E433">
            <v>0</v>
          </cell>
          <cell r="F433">
            <v>0</v>
          </cell>
          <cell r="G433">
            <v>0</v>
          </cell>
          <cell r="H433">
            <v>0</v>
          </cell>
          <cell r="I433">
            <v>0</v>
          </cell>
          <cell r="J433">
            <v>0</v>
          </cell>
          <cell r="K433">
            <v>9</v>
          </cell>
          <cell r="L433">
            <v>0</v>
          </cell>
          <cell r="M433">
            <v>0</v>
          </cell>
        </row>
        <row r="434">
          <cell r="C434">
            <v>0</v>
          </cell>
          <cell r="D434">
            <v>0</v>
          </cell>
          <cell r="E434">
            <v>0</v>
          </cell>
          <cell r="F434">
            <v>0</v>
          </cell>
          <cell r="G434">
            <v>0</v>
          </cell>
          <cell r="H434">
            <v>0</v>
          </cell>
          <cell r="I434">
            <v>0</v>
          </cell>
          <cell r="J434">
            <v>0</v>
          </cell>
          <cell r="K434">
            <v>9</v>
          </cell>
          <cell r="L434">
            <v>0</v>
          </cell>
          <cell r="M434">
            <v>0</v>
          </cell>
        </row>
        <row r="435">
          <cell r="C435">
            <v>0</v>
          </cell>
          <cell r="D435">
            <v>0</v>
          </cell>
          <cell r="E435">
            <v>0</v>
          </cell>
          <cell r="F435">
            <v>0</v>
          </cell>
          <cell r="G435">
            <v>0</v>
          </cell>
          <cell r="H435">
            <v>0</v>
          </cell>
          <cell r="I435">
            <v>0</v>
          </cell>
          <cell r="J435">
            <v>0</v>
          </cell>
          <cell r="K435">
            <v>9</v>
          </cell>
          <cell r="L435">
            <v>0</v>
          </cell>
          <cell r="M435">
            <v>0</v>
          </cell>
        </row>
        <row r="436">
          <cell r="C436">
            <v>0</v>
          </cell>
          <cell r="D436">
            <v>0</v>
          </cell>
          <cell r="E436">
            <v>0</v>
          </cell>
          <cell r="F436">
            <v>0</v>
          </cell>
          <cell r="G436">
            <v>0</v>
          </cell>
          <cell r="H436">
            <v>0</v>
          </cell>
          <cell r="I436">
            <v>0</v>
          </cell>
          <cell r="J436">
            <v>0</v>
          </cell>
          <cell r="K436">
            <v>9</v>
          </cell>
          <cell r="L436">
            <v>0</v>
          </cell>
          <cell r="M436">
            <v>0</v>
          </cell>
        </row>
        <row r="437">
          <cell r="C437">
            <v>0</v>
          </cell>
          <cell r="D437">
            <v>0</v>
          </cell>
          <cell r="E437">
            <v>0</v>
          </cell>
          <cell r="F437">
            <v>0</v>
          </cell>
          <cell r="G437">
            <v>0</v>
          </cell>
          <cell r="H437">
            <v>0</v>
          </cell>
          <cell r="I437">
            <v>0</v>
          </cell>
          <cell r="J437">
            <v>0</v>
          </cell>
          <cell r="K437">
            <v>9</v>
          </cell>
          <cell r="L437">
            <v>0</v>
          </cell>
          <cell r="M437">
            <v>0</v>
          </cell>
        </row>
        <row r="438">
          <cell r="C438">
            <v>0</v>
          </cell>
          <cell r="D438">
            <v>0</v>
          </cell>
          <cell r="E438">
            <v>0</v>
          </cell>
          <cell r="F438">
            <v>0</v>
          </cell>
          <cell r="G438">
            <v>0</v>
          </cell>
          <cell r="H438">
            <v>0</v>
          </cell>
          <cell r="I438">
            <v>0</v>
          </cell>
          <cell r="J438">
            <v>0</v>
          </cell>
          <cell r="K438">
            <v>9</v>
          </cell>
          <cell r="L438">
            <v>0</v>
          </cell>
          <cell r="M438">
            <v>0</v>
          </cell>
        </row>
        <row r="439">
          <cell r="C439">
            <v>0</v>
          </cell>
          <cell r="D439">
            <v>0</v>
          </cell>
          <cell r="E439">
            <v>0</v>
          </cell>
          <cell r="F439">
            <v>0</v>
          </cell>
          <cell r="G439">
            <v>0</v>
          </cell>
          <cell r="H439">
            <v>0</v>
          </cell>
          <cell r="I439">
            <v>0</v>
          </cell>
          <cell r="J439">
            <v>0</v>
          </cell>
          <cell r="K439">
            <v>9</v>
          </cell>
          <cell r="L439">
            <v>0</v>
          </cell>
          <cell r="M439">
            <v>0</v>
          </cell>
        </row>
        <row r="440">
          <cell r="C440">
            <v>0</v>
          </cell>
          <cell r="D440">
            <v>0</v>
          </cell>
          <cell r="E440">
            <v>0</v>
          </cell>
          <cell r="F440">
            <v>0</v>
          </cell>
          <cell r="G440">
            <v>0</v>
          </cell>
          <cell r="H440">
            <v>0</v>
          </cell>
          <cell r="I440">
            <v>0</v>
          </cell>
          <cell r="J440">
            <v>0</v>
          </cell>
          <cell r="K440">
            <v>9</v>
          </cell>
          <cell r="L440">
            <v>0</v>
          </cell>
          <cell r="M440">
            <v>0</v>
          </cell>
        </row>
        <row r="441">
          <cell r="C441">
            <v>0</v>
          </cell>
          <cell r="D441">
            <v>0</v>
          </cell>
          <cell r="E441">
            <v>0</v>
          </cell>
          <cell r="F441">
            <v>0</v>
          </cell>
          <cell r="G441">
            <v>0</v>
          </cell>
          <cell r="H441">
            <v>0</v>
          </cell>
          <cell r="I441">
            <v>0</v>
          </cell>
          <cell r="J441">
            <v>0</v>
          </cell>
          <cell r="K441">
            <v>9</v>
          </cell>
          <cell r="L441">
            <v>0</v>
          </cell>
          <cell r="M441">
            <v>0</v>
          </cell>
        </row>
        <row r="442">
          <cell r="C442">
            <v>0</v>
          </cell>
          <cell r="D442">
            <v>0</v>
          </cell>
          <cell r="E442">
            <v>0</v>
          </cell>
          <cell r="F442">
            <v>0</v>
          </cell>
          <cell r="G442">
            <v>0</v>
          </cell>
          <cell r="H442">
            <v>0</v>
          </cell>
          <cell r="I442">
            <v>0</v>
          </cell>
          <cell r="J442">
            <v>0</v>
          </cell>
          <cell r="K442">
            <v>9</v>
          </cell>
          <cell r="L442">
            <v>0</v>
          </cell>
          <cell r="M442">
            <v>0</v>
          </cell>
        </row>
        <row r="443">
          <cell r="C443">
            <v>0</v>
          </cell>
          <cell r="D443">
            <v>0</v>
          </cell>
          <cell r="E443">
            <v>0</v>
          </cell>
          <cell r="F443">
            <v>0</v>
          </cell>
          <cell r="G443">
            <v>0</v>
          </cell>
          <cell r="H443">
            <v>0</v>
          </cell>
          <cell r="I443">
            <v>0</v>
          </cell>
          <cell r="J443">
            <v>0</v>
          </cell>
          <cell r="K443">
            <v>9</v>
          </cell>
          <cell r="L443">
            <v>0</v>
          </cell>
          <cell r="M443">
            <v>0</v>
          </cell>
        </row>
        <row r="444">
          <cell r="C444">
            <v>0</v>
          </cell>
          <cell r="D444">
            <v>0</v>
          </cell>
          <cell r="E444">
            <v>0</v>
          </cell>
          <cell r="F444">
            <v>0</v>
          </cell>
          <cell r="G444">
            <v>0</v>
          </cell>
          <cell r="H444">
            <v>0</v>
          </cell>
          <cell r="I444">
            <v>0</v>
          </cell>
          <cell r="J444">
            <v>0</v>
          </cell>
          <cell r="K444">
            <v>9</v>
          </cell>
          <cell r="L444">
            <v>0</v>
          </cell>
          <cell r="M444">
            <v>0</v>
          </cell>
        </row>
        <row r="445">
          <cell r="C445">
            <v>0</v>
          </cell>
          <cell r="D445">
            <v>0</v>
          </cell>
          <cell r="E445">
            <v>0</v>
          </cell>
          <cell r="F445">
            <v>0</v>
          </cell>
          <cell r="G445">
            <v>0</v>
          </cell>
          <cell r="H445">
            <v>0</v>
          </cell>
          <cell r="I445">
            <v>0</v>
          </cell>
          <cell r="J445">
            <v>0</v>
          </cell>
          <cell r="K445">
            <v>9</v>
          </cell>
          <cell r="L445">
            <v>0</v>
          </cell>
          <cell r="M445">
            <v>0</v>
          </cell>
        </row>
        <row r="446">
          <cell r="C446">
            <v>0</v>
          </cell>
          <cell r="D446">
            <v>0</v>
          </cell>
          <cell r="E446">
            <v>0</v>
          </cell>
          <cell r="F446">
            <v>0</v>
          </cell>
          <cell r="G446">
            <v>0</v>
          </cell>
          <cell r="H446">
            <v>0</v>
          </cell>
          <cell r="I446">
            <v>0</v>
          </cell>
          <cell r="J446">
            <v>0</v>
          </cell>
          <cell r="K446">
            <v>9</v>
          </cell>
          <cell r="L446">
            <v>0</v>
          </cell>
          <cell r="M446">
            <v>0</v>
          </cell>
        </row>
        <row r="447">
          <cell r="C447">
            <v>0</v>
          </cell>
          <cell r="D447">
            <v>0</v>
          </cell>
          <cell r="E447">
            <v>0</v>
          </cell>
          <cell r="F447">
            <v>0</v>
          </cell>
          <cell r="G447">
            <v>0</v>
          </cell>
          <cell r="H447">
            <v>0</v>
          </cell>
          <cell r="I447">
            <v>0</v>
          </cell>
          <cell r="J447">
            <v>0</v>
          </cell>
          <cell r="K447">
            <v>9</v>
          </cell>
          <cell r="L447">
            <v>0</v>
          </cell>
          <cell r="M447">
            <v>0</v>
          </cell>
        </row>
        <row r="448">
          <cell r="C448">
            <v>0</v>
          </cell>
          <cell r="D448">
            <v>0</v>
          </cell>
          <cell r="E448">
            <v>0</v>
          </cell>
          <cell r="F448">
            <v>0</v>
          </cell>
          <cell r="G448">
            <v>0</v>
          </cell>
          <cell r="H448">
            <v>0</v>
          </cell>
          <cell r="I448">
            <v>0</v>
          </cell>
          <cell r="J448">
            <v>0</v>
          </cell>
          <cell r="K448">
            <v>9</v>
          </cell>
          <cell r="L448">
            <v>0</v>
          </cell>
          <cell r="M448">
            <v>0</v>
          </cell>
        </row>
        <row r="449">
          <cell r="C449">
            <v>0</v>
          </cell>
          <cell r="D449">
            <v>0</v>
          </cell>
          <cell r="E449">
            <v>0</v>
          </cell>
          <cell r="F449">
            <v>0</v>
          </cell>
          <cell r="G449">
            <v>0</v>
          </cell>
          <cell r="H449">
            <v>0</v>
          </cell>
          <cell r="I449">
            <v>0</v>
          </cell>
          <cell r="J449">
            <v>0</v>
          </cell>
          <cell r="K449">
            <v>9</v>
          </cell>
          <cell r="L449">
            <v>0</v>
          </cell>
          <cell r="M449">
            <v>0</v>
          </cell>
        </row>
        <row r="450">
          <cell r="C450">
            <v>0</v>
          </cell>
          <cell r="D450">
            <v>0</v>
          </cell>
          <cell r="E450">
            <v>0</v>
          </cell>
          <cell r="F450">
            <v>0</v>
          </cell>
          <cell r="G450">
            <v>0</v>
          </cell>
          <cell r="H450">
            <v>0</v>
          </cell>
          <cell r="I450">
            <v>0</v>
          </cell>
          <cell r="J450">
            <v>0</v>
          </cell>
          <cell r="K450">
            <v>9</v>
          </cell>
          <cell r="L450">
            <v>0</v>
          </cell>
          <cell r="M450">
            <v>0</v>
          </cell>
        </row>
        <row r="451">
          <cell r="C451">
            <v>0</v>
          </cell>
          <cell r="D451">
            <v>0</v>
          </cell>
          <cell r="E451">
            <v>0</v>
          </cell>
          <cell r="F451">
            <v>0</v>
          </cell>
          <cell r="G451">
            <v>0</v>
          </cell>
          <cell r="H451">
            <v>0</v>
          </cell>
          <cell r="I451">
            <v>0</v>
          </cell>
          <cell r="J451">
            <v>0</v>
          </cell>
          <cell r="K451">
            <v>9</v>
          </cell>
          <cell r="L451">
            <v>0</v>
          </cell>
          <cell r="M451">
            <v>0</v>
          </cell>
        </row>
        <row r="452">
          <cell r="C452">
            <v>0</v>
          </cell>
          <cell r="D452">
            <v>0</v>
          </cell>
          <cell r="E452">
            <v>0</v>
          </cell>
          <cell r="F452">
            <v>0</v>
          </cell>
          <cell r="G452">
            <v>0</v>
          </cell>
          <cell r="H452">
            <v>0</v>
          </cell>
          <cell r="I452">
            <v>0</v>
          </cell>
          <cell r="J452">
            <v>0</v>
          </cell>
          <cell r="K452">
            <v>9</v>
          </cell>
          <cell r="L452">
            <v>0</v>
          </cell>
          <cell r="M452">
            <v>0</v>
          </cell>
        </row>
        <row r="453">
          <cell r="C453">
            <v>0</v>
          </cell>
          <cell r="D453">
            <v>0</v>
          </cell>
          <cell r="E453">
            <v>0</v>
          </cell>
          <cell r="F453">
            <v>0</v>
          </cell>
          <cell r="G453">
            <v>0</v>
          </cell>
          <cell r="H453">
            <v>0</v>
          </cell>
          <cell r="I453">
            <v>0</v>
          </cell>
          <cell r="J453">
            <v>0</v>
          </cell>
          <cell r="K453">
            <v>9</v>
          </cell>
          <cell r="L453">
            <v>0</v>
          </cell>
          <cell r="M453">
            <v>0</v>
          </cell>
        </row>
        <row r="454">
          <cell r="C454">
            <v>0</v>
          </cell>
          <cell r="D454">
            <v>0</v>
          </cell>
          <cell r="E454">
            <v>0</v>
          </cell>
          <cell r="F454">
            <v>0</v>
          </cell>
          <cell r="G454">
            <v>0</v>
          </cell>
          <cell r="H454">
            <v>0</v>
          </cell>
          <cell r="I454">
            <v>0</v>
          </cell>
          <cell r="J454">
            <v>0</v>
          </cell>
          <cell r="K454">
            <v>9</v>
          </cell>
          <cell r="L454">
            <v>0</v>
          </cell>
          <cell r="M454">
            <v>0</v>
          </cell>
        </row>
        <row r="455">
          <cell r="C455">
            <v>0</v>
          </cell>
          <cell r="D455">
            <v>0</v>
          </cell>
          <cell r="E455">
            <v>0</v>
          </cell>
          <cell r="F455">
            <v>0</v>
          </cell>
          <cell r="G455">
            <v>0</v>
          </cell>
          <cell r="H455">
            <v>0</v>
          </cell>
          <cell r="I455">
            <v>0</v>
          </cell>
          <cell r="J455">
            <v>0</v>
          </cell>
          <cell r="K455">
            <v>9</v>
          </cell>
          <cell r="L455">
            <v>0</v>
          </cell>
          <cell r="M455">
            <v>0</v>
          </cell>
        </row>
        <row r="456">
          <cell r="C456">
            <v>0</v>
          </cell>
          <cell r="D456">
            <v>0</v>
          </cell>
          <cell r="E456">
            <v>0</v>
          </cell>
          <cell r="F456">
            <v>0</v>
          </cell>
          <cell r="G456">
            <v>0</v>
          </cell>
          <cell r="H456">
            <v>0</v>
          </cell>
          <cell r="I456">
            <v>0</v>
          </cell>
          <cell r="J456">
            <v>0</v>
          </cell>
          <cell r="K456">
            <v>9</v>
          </cell>
          <cell r="L456">
            <v>0</v>
          </cell>
          <cell r="M456">
            <v>0</v>
          </cell>
        </row>
        <row r="457">
          <cell r="C457">
            <v>0</v>
          </cell>
          <cell r="D457">
            <v>0</v>
          </cell>
          <cell r="E457">
            <v>0</v>
          </cell>
          <cell r="F457">
            <v>0</v>
          </cell>
          <cell r="G457">
            <v>0</v>
          </cell>
          <cell r="H457">
            <v>0</v>
          </cell>
          <cell r="I457">
            <v>0</v>
          </cell>
          <cell r="J457">
            <v>0</v>
          </cell>
          <cell r="K457">
            <v>9</v>
          </cell>
          <cell r="L457">
            <v>0</v>
          </cell>
          <cell r="M457">
            <v>0</v>
          </cell>
        </row>
        <row r="458">
          <cell r="C458">
            <v>0</v>
          </cell>
          <cell r="D458">
            <v>0</v>
          </cell>
          <cell r="E458">
            <v>0</v>
          </cell>
          <cell r="F458">
            <v>0</v>
          </cell>
          <cell r="G458">
            <v>0</v>
          </cell>
          <cell r="H458">
            <v>0</v>
          </cell>
          <cell r="I458">
            <v>0</v>
          </cell>
          <cell r="J458">
            <v>0</v>
          </cell>
          <cell r="K458">
            <v>9</v>
          </cell>
          <cell r="L458">
            <v>0</v>
          </cell>
          <cell r="M458">
            <v>0</v>
          </cell>
        </row>
        <row r="459">
          <cell r="C459">
            <v>0</v>
          </cell>
          <cell r="D459">
            <v>0</v>
          </cell>
          <cell r="E459">
            <v>0</v>
          </cell>
          <cell r="F459">
            <v>0</v>
          </cell>
          <cell r="G459">
            <v>0</v>
          </cell>
          <cell r="H459">
            <v>0</v>
          </cell>
          <cell r="I459">
            <v>0</v>
          </cell>
          <cell r="J459">
            <v>0</v>
          </cell>
          <cell r="K459">
            <v>9</v>
          </cell>
          <cell r="L459">
            <v>0</v>
          </cell>
          <cell r="M459">
            <v>0</v>
          </cell>
        </row>
        <row r="460">
          <cell r="C460">
            <v>0</v>
          </cell>
          <cell r="D460">
            <v>0</v>
          </cell>
          <cell r="E460">
            <v>0</v>
          </cell>
          <cell r="F460">
            <v>0</v>
          </cell>
          <cell r="G460">
            <v>0</v>
          </cell>
          <cell r="H460">
            <v>0</v>
          </cell>
          <cell r="I460">
            <v>0</v>
          </cell>
          <cell r="J460">
            <v>0</v>
          </cell>
          <cell r="K460">
            <v>9</v>
          </cell>
          <cell r="L460">
            <v>0</v>
          </cell>
          <cell r="M460">
            <v>0</v>
          </cell>
        </row>
        <row r="461">
          <cell r="C461">
            <v>0</v>
          </cell>
          <cell r="D461">
            <v>0</v>
          </cell>
          <cell r="E461">
            <v>0</v>
          </cell>
          <cell r="F461">
            <v>0</v>
          </cell>
          <cell r="G461">
            <v>0</v>
          </cell>
          <cell r="H461">
            <v>0</v>
          </cell>
          <cell r="I461">
            <v>0</v>
          </cell>
          <cell r="J461">
            <v>0</v>
          </cell>
          <cell r="K461">
            <v>9</v>
          </cell>
          <cell r="L461">
            <v>0</v>
          </cell>
          <cell r="M461">
            <v>0</v>
          </cell>
        </row>
        <row r="462">
          <cell r="C462">
            <v>0</v>
          </cell>
          <cell r="D462">
            <v>0</v>
          </cell>
          <cell r="E462">
            <v>0</v>
          </cell>
          <cell r="F462">
            <v>0</v>
          </cell>
          <cell r="G462">
            <v>0</v>
          </cell>
          <cell r="H462">
            <v>0</v>
          </cell>
          <cell r="I462">
            <v>0</v>
          </cell>
          <cell r="J462">
            <v>0</v>
          </cell>
          <cell r="K462">
            <v>9</v>
          </cell>
          <cell r="L462">
            <v>0</v>
          </cell>
          <cell r="M462">
            <v>0</v>
          </cell>
        </row>
        <row r="463">
          <cell r="C463">
            <v>0</v>
          </cell>
          <cell r="D463">
            <v>0</v>
          </cell>
          <cell r="E463">
            <v>0</v>
          </cell>
          <cell r="F463">
            <v>0</v>
          </cell>
          <cell r="G463">
            <v>0</v>
          </cell>
          <cell r="H463">
            <v>0</v>
          </cell>
          <cell r="I463">
            <v>0</v>
          </cell>
          <cell r="J463">
            <v>0</v>
          </cell>
          <cell r="K463">
            <v>9</v>
          </cell>
          <cell r="L463">
            <v>0</v>
          </cell>
          <cell r="M463">
            <v>0</v>
          </cell>
        </row>
        <row r="464">
          <cell r="C464">
            <v>0</v>
          </cell>
          <cell r="D464">
            <v>0</v>
          </cell>
          <cell r="E464">
            <v>0</v>
          </cell>
          <cell r="F464">
            <v>0</v>
          </cell>
          <cell r="G464">
            <v>0</v>
          </cell>
          <cell r="H464">
            <v>0</v>
          </cell>
          <cell r="I464">
            <v>0</v>
          </cell>
          <cell r="J464">
            <v>0</v>
          </cell>
          <cell r="K464">
            <v>9</v>
          </cell>
          <cell r="L464">
            <v>0</v>
          </cell>
          <cell r="M464">
            <v>0</v>
          </cell>
        </row>
        <row r="465">
          <cell r="C465">
            <v>0</v>
          </cell>
          <cell r="D465">
            <v>0</v>
          </cell>
          <cell r="E465">
            <v>0</v>
          </cell>
          <cell r="F465">
            <v>0</v>
          </cell>
          <cell r="G465">
            <v>0</v>
          </cell>
          <cell r="H465">
            <v>0</v>
          </cell>
          <cell r="I465">
            <v>0</v>
          </cell>
          <cell r="J465">
            <v>0</v>
          </cell>
          <cell r="K465">
            <v>9</v>
          </cell>
          <cell r="L465">
            <v>0</v>
          </cell>
          <cell r="M465">
            <v>0</v>
          </cell>
        </row>
        <row r="466">
          <cell r="C466">
            <v>0</v>
          </cell>
          <cell r="D466">
            <v>0</v>
          </cell>
          <cell r="E466">
            <v>0</v>
          </cell>
          <cell r="F466">
            <v>0</v>
          </cell>
          <cell r="G466">
            <v>0</v>
          </cell>
          <cell r="H466">
            <v>0</v>
          </cell>
          <cell r="I466">
            <v>0</v>
          </cell>
          <cell r="J466">
            <v>0</v>
          </cell>
          <cell r="K466">
            <v>9</v>
          </cell>
          <cell r="L466">
            <v>0</v>
          </cell>
          <cell r="M466">
            <v>0</v>
          </cell>
        </row>
        <row r="467">
          <cell r="C467">
            <v>0</v>
          </cell>
          <cell r="D467">
            <v>0</v>
          </cell>
          <cell r="E467">
            <v>0</v>
          </cell>
          <cell r="F467">
            <v>0</v>
          </cell>
          <cell r="G467">
            <v>0</v>
          </cell>
          <cell r="H467">
            <v>0</v>
          </cell>
          <cell r="I467">
            <v>0</v>
          </cell>
          <cell r="J467">
            <v>0</v>
          </cell>
          <cell r="K467">
            <v>9</v>
          </cell>
          <cell r="L467">
            <v>0</v>
          </cell>
          <cell r="M467">
            <v>0</v>
          </cell>
        </row>
        <row r="468">
          <cell r="C468">
            <v>0</v>
          </cell>
          <cell r="D468">
            <v>0</v>
          </cell>
          <cell r="E468">
            <v>0</v>
          </cell>
          <cell r="F468">
            <v>0</v>
          </cell>
          <cell r="G468">
            <v>0</v>
          </cell>
          <cell r="H468">
            <v>0</v>
          </cell>
          <cell r="I468">
            <v>0</v>
          </cell>
          <cell r="J468">
            <v>0</v>
          </cell>
          <cell r="K468">
            <v>9</v>
          </cell>
          <cell r="L468">
            <v>0</v>
          </cell>
          <cell r="M468">
            <v>0</v>
          </cell>
        </row>
        <row r="469">
          <cell r="C469">
            <v>0</v>
          </cell>
          <cell r="D469">
            <v>0</v>
          </cell>
          <cell r="E469">
            <v>0</v>
          </cell>
          <cell r="F469">
            <v>0</v>
          </cell>
          <cell r="G469">
            <v>0</v>
          </cell>
          <cell r="H469">
            <v>0</v>
          </cell>
          <cell r="I469">
            <v>0</v>
          </cell>
          <cell r="J469">
            <v>0</v>
          </cell>
          <cell r="K469">
            <v>9</v>
          </cell>
          <cell r="L469">
            <v>0</v>
          </cell>
          <cell r="M469">
            <v>0</v>
          </cell>
        </row>
        <row r="470">
          <cell r="C470">
            <v>0</v>
          </cell>
          <cell r="D470">
            <v>0</v>
          </cell>
          <cell r="E470">
            <v>0</v>
          </cell>
          <cell r="F470">
            <v>0</v>
          </cell>
          <cell r="G470">
            <v>0</v>
          </cell>
          <cell r="H470">
            <v>0</v>
          </cell>
          <cell r="I470">
            <v>0</v>
          </cell>
          <cell r="J470">
            <v>0</v>
          </cell>
          <cell r="K470">
            <v>9</v>
          </cell>
          <cell r="L470">
            <v>0</v>
          </cell>
          <cell r="M470">
            <v>0</v>
          </cell>
        </row>
        <row r="471">
          <cell r="C471">
            <v>0</v>
          </cell>
          <cell r="D471">
            <v>0</v>
          </cell>
          <cell r="E471">
            <v>0</v>
          </cell>
          <cell r="F471">
            <v>0</v>
          </cell>
          <cell r="G471">
            <v>0</v>
          </cell>
          <cell r="H471">
            <v>0</v>
          </cell>
          <cell r="I471">
            <v>0</v>
          </cell>
          <cell r="J471">
            <v>0</v>
          </cell>
          <cell r="K471">
            <v>9</v>
          </cell>
          <cell r="L471">
            <v>0</v>
          </cell>
          <cell r="M471">
            <v>0</v>
          </cell>
        </row>
        <row r="472">
          <cell r="C472">
            <v>0</v>
          </cell>
          <cell r="D472">
            <v>0</v>
          </cell>
          <cell r="E472">
            <v>0</v>
          </cell>
          <cell r="F472">
            <v>0</v>
          </cell>
          <cell r="G472">
            <v>0</v>
          </cell>
          <cell r="H472">
            <v>0</v>
          </cell>
          <cell r="I472">
            <v>0</v>
          </cell>
          <cell r="J472">
            <v>0</v>
          </cell>
          <cell r="K472">
            <v>9</v>
          </cell>
          <cell r="L472">
            <v>0</v>
          </cell>
          <cell r="M472">
            <v>0</v>
          </cell>
        </row>
        <row r="473">
          <cell r="C473">
            <v>0</v>
          </cell>
          <cell r="D473">
            <v>0</v>
          </cell>
          <cell r="E473">
            <v>0</v>
          </cell>
          <cell r="F473">
            <v>0</v>
          </cell>
          <cell r="G473">
            <v>0</v>
          </cell>
          <cell r="H473">
            <v>0</v>
          </cell>
          <cell r="I473">
            <v>0</v>
          </cell>
          <cell r="J473">
            <v>0</v>
          </cell>
          <cell r="K473">
            <v>9</v>
          </cell>
          <cell r="L473">
            <v>0</v>
          </cell>
          <cell r="M473">
            <v>0</v>
          </cell>
        </row>
        <row r="474">
          <cell r="C474">
            <v>0</v>
          </cell>
          <cell r="D474">
            <v>0</v>
          </cell>
          <cell r="E474">
            <v>0</v>
          </cell>
          <cell r="F474">
            <v>0</v>
          </cell>
          <cell r="G474">
            <v>0</v>
          </cell>
          <cell r="H474">
            <v>0</v>
          </cell>
          <cell r="I474">
            <v>0</v>
          </cell>
          <cell r="J474">
            <v>0</v>
          </cell>
          <cell r="K474">
            <v>9</v>
          </cell>
          <cell r="L474">
            <v>0</v>
          </cell>
          <cell r="M474">
            <v>0</v>
          </cell>
        </row>
        <row r="475">
          <cell r="C475">
            <v>0</v>
          </cell>
          <cell r="D475">
            <v>0</v>
          </cell>
          <cell r="E475">
            <v>0</v>
          </cell>
          <cell r="F475">
            <v>0</v>
          </cell>
          <cell r="G475">
            <v>0</v>
          </cell>
          <cell r="H475">
            <v>0</v>
          </cell>
          <cell r="I475">
            <v>0</v>
          </cell>
          <cell r="J475">
            <v>0</v>
          </cell>
          <cell r="K475">
            <v>9</v>
          </cell>
          <cell r="L475">
            <v>0</v>
          </cell>
          <cell r="M475">
            <v>0</v>
          </cell>
        </row>
        <row r="476">
          <cell r="C476">
            <v>0</v>
          </cell>
          <cell r="D476">
            <v>0</v>
          </cell>
          <cell r="E476">
            <v>0</v>
          </cell>
          <cell r="F476">
            <v>0</v>
          </cell>
          <cell r="G476">
            <v>0</v>
          </cell>
          <cell r="H476">
            <v>0</v>
          </cell>
          <cell r="I476">
            <v>0</v>
          </cell>
          <cell r="J476">
            <v>0</v>
          </cell>
          <cell r="K476">
            <v>9</v>
          </cell>
          <cell r="L476">
            <v>0</v>
          </cell>
          <cell r="M476">
            <v>0</v>
          </cell>
        </row>
        <row r="477">
          <cell r="C477">
            <v>0</v>
          </cell>
          <cell r="D477">
            <v>0</v>
          </cell>
          <cell r="E477">
            <v>0</v>
          </cell>
          <cell r="F477">
            <v>0</v>
          </cell>
          <cell r="G477">
            <v>0</v>
          </cell>
          <cell r="H477">
            <v>0</v>
          </cell>
          <cell r="I477">
            <v>0</v>
          </cell>
          <cell r="J477">
            <v>0</v>
          </cell>
          <cell r="K477">
            <v>9</v>
          </cell>
          <cell r="L477">
            <v>0</v>
          </cell>
          <cell r="M477">
            <v>0</v>
          </cell>
        </row>
        <row r="478">
          <cell r="C478">
            <v>0</v>
          </cell>
          <cell r="D478">
            <v>0</v>
          </cell>
          <cell r="E478">
            <v>0</v>
          </cell>
          <cell r="F478">
            <v>0</v>
          </cell>
          <cell r="G478">
            <v>0</v>
          </cell>
          <cell r="H478">
            <v>0</v>
          </cell>
          <cell r="I478">
            <v>0</v>
          </cell>
          <cell r="J478">
            <v>0</v>
          </cell>
          <cell r="K478">
            <v>9</v>
          </cell>
          <cell r="L478">
            <v>0</v>
          </cell>
          <cell r="M478">
            <v>0</v>
          </cell>
        </row>
        <row r="479">
          <cell r="C479">
            <v>0</v>
          </cell>
          <cell r="D479">
            <v>0</v>
          </cell>
          <cell r="E479">
            <v>0</v>
          </cell>
          <cell r="F479">
            <v>0</v>
          </cell>
          <cell r="G479">
            <v>0</v>
          </cell>
          <cell r="H479">
            <v>0</v>
          </cell>
          <cell r="I479">
            <v>0</v>
          </cell>
          <cell r="J479">
            <v>0</v>
          </cell>
          <cell r="K479">
            <v>9</v>
          </cell>
          <cell r="L479">
            <v>0</v>
          </cell>
          <cell r="M479">
            <v>0</v>
          </cell>
        </row>
        <row r="480">
          <cell r="C480">
            <v>0</v>
          </cell>
          <cell r="D480">
            <v>0</v>
          </cell>
          <cell r="E480">
            <v>0</v>
          </cell>
          <cell r="F480">
            <v>0</v>
          </cell>
          <cell r="G480">
            <v>0</v>
          </cell>
          <cell r="H480">
            <v>0</v>
          </cell>
          <cell r="I480">
            <v>0</v>
          </cell>
          <cell r="J480">
            <v>0</v>
          </cell>
          <cell r="K480">
            <v>9</v>
          </cell>
          <cell r="L480">
            <v>0</v>
          </cell>
          <cell r="M480">
            <v>0</v>
          </cell>
        </row>
        <row r="481">
          <cell r="C481">
            <v>0</v>
          </cell>
          <cell r="D481">
            <v>0</v>
          </cell>
          <cell r="E481">
            <v>0</v>
          </cell>
          <cell r="F481">
            <v>0</v>
          </cell>
          <cell r="G481">
            <v>0</v>
          </cell>
          <cell r="H481">
            <v>0</v>
          </cell>
          <cell r="I481">
            <v>0</v>
          </cell>
          <cell r="J481">
            <v>0</v>
          </cell>
          <cell r="K481">
            <v>9</v>
          </cell>
          <cell r="L481">
            <v>0</v>
          </cell>
          <cell r="M481">
            <v>0</v>
          </cell>
        </row>
        <row r="482">
          <cell r="C482">
            <v>0</v>
          </cell>
          <cell r="D482">
            <v>0</v>
          </cell>
          <cell r="E482">
            <v>0</v>
          </cell>
          <cell r="F482">
            <v>0</v>
          </cell>
          <cell r="G482">
            <v>0</v>
          </cell>
          <cell r="H482">
            <v>0</v>
          </cell>
          <cell r="I482">
            <v>0</v>
          </cell>
          <cell r="J482">
            <v>0</v>
          </cell>
          <cell r="K482">
            <v>9</v>
          </cell>
          <cell r="L482">
            <v>0</v>
          </cell>
          <cell r="M482">
            <v>0</v>
          </cell>
        </row>
        <row r="483">
          <cell r="C483">
            <v>0</v>
          </cell>
          <cell r="D483">
            <v>0</v>
          </cell>
          <cell r="E483">
            <v>0</v>
          </cell>
          <cell r="F483">
            <v>0</v>
          </cell>
          <cell r="G483">
            <v>0</v>
          </cell>
          <cell r="H483">
            <v>0</v>
          </cell>
          <cell r="I483">
            <v>0</v>
          </cell>
          <cell r="J483">
            <v>0</v>
          </cell>
          <cell r="K483">
            <v>9</v>
          </cell>
          <cell r="L483">
            <v>0</v>
          </cell>
          <cell r="M483">
            <v>0</v>
          </cell>
        </row>
        <row r="484">
          <cell r="C484">
            <v>0</v>
          </cell>
          <cell r="D484">
            <v>0</v>
          </cell>
          <cell r="E484">
            <v>0</v>
          </cell>
          <cell r="F484">
            <v>0</v>
          </cell>
          <cell r="G484">
            <v>0</v>
          </cell>
          <cell r="H484">
            <v>0</v>
          </cell>
          <cell r="I484">
            <v>0</v>
          </cell>
          <cell r="J484">
            <v>0</v>
          </cell>
          <cell r="K484">
            <v>9</v>
          </cell>
          <cell r="L484">
            <v>0</v>
          </cell>
          <cell r="M484">
            <v>0</v>
          </cell>
        </row>
        <row r="485">
          <cell r="C485">
            <v>0</v>
          </cell>
          <cell r="D485">
            <v>0</v>
          </cell>
          <cell r="E485">
            <v>0</v>
          </cell>
          <cell r="F485">
            <v>0</v>
          </cell>
          <cell r="G485">
            <v>0</v>
          </cell>
          <cell r="H485">
            <v>0</v>
          </cell>
          <cell r="I485">
            <v>0</v>
          </cell>
          <cell r="J485">
            <v>0</v>
          </cell>
          <cell r="K485">
            <v>9</v>
          </cell>
          <cell r="L485">
            <v>0</v>
          </cell>
          <cell r="M485">
            <v>0</v>
          </cell>
        </row>
        <row r="486">
          <cell r="C486">
            <v>0</v>
          </cell>
          <cell r="D486">
            <v>0</v>
          </cell>
          <cell r="E486">
            <v>0</v>
          </cell>
          <cell r="F486">
            <v>0</v>
          </cell>
          <cell r="G486">
            <v>0</v>
          </cell>
          <cell r="H486">
            <v>0</v>
          </cell>
          <cell r="I486">
            <v>0</v>
          </cell>
          <cell r="J486">
            <v>0</v>
          </cell>
          <cell r="K486">
            <v>9</v>
          </cell>
          <cell r="L486">
            <v>0</v>
          </cell>
          <cell r="M486">
            <v>0</v>
          </cell>
        </row>
        <row r="487">
          <cell r="C487">
            <v>0</v>
          </cell>
          <cell r="D487">
            <v>0</v>
          </cell>
          <cell r="E487">
            <v>0</v>
          </cell>
          <cell r="F487">
            <v>0</v>
          </cell>
          <cell r="G487">
            <v>0</v>
          </cell>
          <cell r="H487">
            <v>0</v>
          </cell>
          <cell r="I487">
            <v>0</v>
          </cell>
          <cell r="J487">
            <v>0</v>
          </cell>
          <cell r="K487">
            <v>9</v>
          </cell>
          <cell r="L487">
            <v>0</v>
          </cell>
          <cell r="M487">
            <v>0</v>
          </cell>
        </row>
        <row r="488">
          <cell r="C488">
            <v>0</v>
          </cell>
          <cell r="D488">
            <v>0</v>
          </cell>
          <cell r="E488">
            <v>0</v>
          </cell>
          <cell r="F488">
            <v>0</v>
          </cell>
          <cell r="G488">
            <v>0</v>
          </cell>
          <cell r="H488">
            <v>0</v>
          </cell>
          <cell r="I488">
            <v>0</v>
          </cell>
          <cell r="J488">
            <v>0</v>
          </cell>
          <cell r="K488">
            <v>9</v>
          </cell>
          <cell r="L488">
            <v>0</v>
          </cell>
          <cell r="M488">
            <v>0</v>
          </cell>
        </row>
        <row r="489">
          <cell r="C489">
            <v>0</v>
          </cell>
          <cell r="D489">
            <v>0</v>
          </cell>
          <cell r="E489">
            <v>0</v>
          </cell>
          <cell r="F489">
            <v>0</v>
          </cell>
          <cell r="G489">
            <v>0</v>
          </cell>
          <cell r="H489">
            <v>0</v>
          </cell>
          <cell r="I489">
            <v>0</v>
          </cell>
          <cell r="J489">
            <v>0</v>
          </cell>
          <cell r="K489">
            <v>9</v>
          </cell>
          <cell r="L489">
            <v>0</v>
          </cell>
          <cell r="M489">
            <v>0</v>
          </cell>
        </row>
        <row r="490">
          <cell r="C490">
            <v>0</v>
          </cell>
          <cell r="D490">
            <v>0</v>
          </cell>
          <cell r="E490">
            <v>0</v>
          </cell>
          <cell r="F490">
            <v>0</v>
          </cell>
          <cell r="G490">
            <v>0</v>
          </cell>
          <cell r="H490">
            <v>0</v>
          </cell>
          <cell r="I490">
            <v>0</v>
          </cell>
          <cell r="J490">
            <v>0</v>
          </cell>
          <cell r="K490">
            <v>9</v>
          </cell>
          <cell r="L490">
            <v>0</v>
          </cell>
          <cell r="M490">
            <v>0</v>
          </cell>
        </row>
        <row r="491">
          <cell r="C491">
            <v>0</v>
          </cell>
          <cell r="D491">
            <v>0</v>
          </cell>
          <cell r="E491">
            <v>0</v>
          </cell>
          <cell r="F491">
            <v>0</v>
          </cell>
          <cell r="G491">
            <v>0</v>
          </cell>
          <cell r="H491">
            <v>0</v>
          </cell>
          <cell r="I491">
            <v>0</v>
          </cell>
          <cell r="J491">
            <v>0</v>
          </cell>
          <cell r="K491">
            <v>9</v>
          </cell>
          <cell r="L491">
            <v>0</v>
          </cell>
          <cell r="M491">
            <v>0</v>
          </cell>
        </row>
        <row r="492">
          <cell r="C492">
            <v>0</v>
          </cell>
          <cell r="D492">
            <v>0</v>
          </cell>
          <cell r="E492">
            <v>0</v>
          </cell>
          <cell r="F492">
            <v>0</v>
          </cell>
          <cell r="G492">
            <v>0</v>
          </cell>
          <cell r="H492">
            <v>0</v>
          </cell>
          <cell r="I492">
            <v>0</v>
          </cell>
          <cell r="J492">
            <v>0</v>
          </cell>
          <cell r="K492">
            <v>9</v>
          </cell>
          <cell r="L492">
            <v>0</v>
          </cell>
          <cell r="M492">
            <v>0</v>
          </cell>
        </row>
        <row r="493">
          <cell r="C493">
            <v>0</v>
          </cell>
          <cell r="D493">
            <v>0</v>
          </cell>
          <cell r="E493">
            <v>0</v>
          </cell>
          <cell r="F493">
            <v>0</v>
          </cell>
          <cell r="G493">
            <v>0</v>
          </cell>
          <cell r="H493">
            <v>0</v>
          </cell>
          <cell r="I493">
            <v>0</v>
          </cell>
          <cell r="J493">
            <v>0</v>
          </cell>
          <cell r="K493">
            <v>9</v>
          </cell>
          <cell r="L493">
            <v>0</v>
          </cell>
          <cell r="M493">
            <v>0</v>
          </cell>
        </row>
        <row r="494">
          <cell r="C494">
            <v>0</v>
          </cell>
          <cell r="D494">
            <v>0</v>
          </cell>
          <cell r="E494">
            <v>0</v>
          </cell>
          <cell r="F494">
            <v>0</v>
          </cell>
          <cell r="G494">
            <v>0</v>
          </cell>
          <cell r="H494">
            <v>0</v>
          </cell>
          <cell r="I494">
            <v>0</v>
          </cell>
          <cell r="J494">
            <v>0</v>
          </cell>
          <cell r="K494">
            <v>9</v>
          </cell>
          <cell r="L494">
            <v>0</v>
          </cell>
          <cell r="M494">
            <v>0</v>
          </cell>
        </row>
        <row r="495">
          <cell r="C495">
            <v>0</v>
          </cell>
          <cell r="D495">
            <v>0</v>
          </cell>
          <cell r="E495">
            <v>0</v>
          </cell>
          <cell r="F495">
            <v>0</v>
          </cell>
          <cell r="G495">
            <v>0</v>
          </cell>
          <cell r="H495">
            <v>0</v>
          </cell>
          <cell r="I495">
            <v>0</v>
          </cell>
          <cell r="J495">
            <v>0</v>
          </cell>
          <cell r="K495">
            <v>9</v>
          </cell>
          <cell r="L495">
            <v>0</v>
          </cell>
          <cell r="M495">
            <v>0</v>
          </cell>
        </row>
        <row r="496">
          <cell r="C496">
            <v>0</v>
          </cell>
          <cell r="D496">
            <v>0</v>
          </cell>
          <cell r="E496">
            <v>0</v>
          </cell>
          <cell r="F496">
            <v>0</v>
          </cell>
          <cell r="G496">
            <v>0</v>
          </cell>
          <cell r="H496">
            <v>0</v>
          </cell>
          <cell r="I496">
            <v>0</v>
          </cell>
          <cell r="J496">
            <v>0</v>
          </cell>
          <cell r="K496">
            <v>9</v>
          </cell>
          <cell r="L496">
            <v>0</v>
          </cell>
          <cell r="M496">
            <v>0</v>
          </cell>
        </row>
        <row r="497">
          <cell r="C497">
            <v>0</v>
          </cell>
          <cell r="D497">
            <v>0</v>
          </cell>
          <cell r="E497">
            <v>0</v>
          </cell>
          <cell r="F497">
            <v>0</v>
          </cell>
          <cell r="G497">
            <v>0</v>
          </cell>
          <cell r="H497">
            <v>0</v>
          </cell>
          <cell r="I497">
            <v>0</v>
          </cell>
          <cell r="J497">
            <v>0</v>
          </cell>
          <cell r="K497">
            <v>9</v>
          </cell>
          <cell r="L497">
            <v>0</v>
          </cell>
          <cell r="M497">
            <v>0</v>
          </cell>
        </row>
        <row r="498">
          <cell r="C498">
            <v>0</v>
          </cell>
          <cell r="D498">
            <v>0</v>
          </cell>
          <cell r="E498">
            <v>0</v>
          </cell>
          <cell r="F498">
            <v>0</v>
          </cell>
          <cell r="G498">
            <v>0</v>
          </cell>
          <cell r="H498">
            <v>0</v>
          </cell>
          <cell r="I498">
            <v>0</v>
          </cell>
          <cell r="J498">
            <v>0</v>
          </cell>
          <cell r="K498">
            <v>9</v>
          </cell>
          <cell r="L498">
            <v>0</v>
          </cell>
          <cell r="M498">
            <v>0</v>
          </cell>
        </row>
        <row r="499">
          <cell r="C499">
            <v>0</v>
          </cell>
          <cell r="D499">
            <v>0</v>
          </cell>
          <cell r="E499">
            <v>0</v>
          </cell>
          <cell r="F499">
            <v>0</v>
          </cell>
          <cell r="G499">
            <v>0</v>
          </cell>
          <cell r="H499">
            <v>0</v>
          </cell>
          <cell r="I499">
            <v>0</v>
          </cell>
          <cell r="J499">
            <v>0</v>
          </cell>
          <cell r="K499">
            <v>9</v>
          </cell>
          <cell r="L499">
            <v>0</v>
          </cell>
          <cell r="M499">
            <v>0</v>
          </cell>
        </row>
        <row r="500">
          <cell r="C500">
            <v>0</v>
          </cell>
          <cell r="D500">
            <v>0</v>
          </cell>
          <cell r="E500">
            <v>0</v>
          </cell>
          <cell r="F500">
            <v>0</v>
          </cell>
          <cell r="G500">
            <v>0</v>
          </cell>
          <cell r="H500">
            <v>0</v>
          </cell>
          <cell r="I500">
            <v>0</v>
          </cell>
          <cell r="J500">
            <v>0</v>
          </cell>
          <cell r="K500">
            <v>9</v>
          </cell>
          <cell r="L500">
            <v>0</v>
          </cell>
          <cell r="M500">
            <v>0</v>
          </cell>
        </row>
        <row r="501">
          <cell r="C501">
            <v>0</v>
          </cell>
          <cell r="D501">
            <v>0</v>
          </cell>
          <cell r="E501">
            <v>0</v>
          </cell>
          <cell r="F501">
            <v>0</v>
          </cell>
          <cell r="G501">
            <v>0</v>
          </cell>
          <cell r="H501">
            <v>0</v>
          </cell>
          <cell r="I501">
            <v>0</v>
          </cell>
          <cell r="J501">
            <v>0</v>
          </cell>
          <cell r="K501">
            <v>9</v>
          </cell>
          <cell r="L501">
            <v>0</v>
          </cell>
          <cell r="M501">
            <v>0</v>
          </cell>
        </row>
        <row r="502">
          <cell r="C502">
            <v>0</v>
          </cell>
          <cell r="D502">
            <v>0</v>
          </cell>
          <cell r="E502">
            <v>0</v>
          </cell>
          <cell r="F502">
            <v>0</v>
          </cell>
          <cell r="G502">
            <v>0</v>
          </cell>
          <cell r="H502">
            <v>0</v>
          </cell>
          <cell r="I502">
            <v>0</v>
          </cell>
          <cell r="J502">
            <v>0</v>
          </cell>
          <cell r="K502">
            <v>9</v>
          </cell>
          <cell r="L502">
            <v>0</v>
          </cell>
          <cell r="M502">
            <v>0</v>
          </cell>
        </row>
        <row r="503">
          <cell r="C503">
            <v>0</v>
          </cell>
          <cell r="D503">
            <v>0</v>
          </cell>
          <cell r="E503">
            <v>0</v>
          </cell>
          <cell r="F503">
            <v>0</v>
          </cell>
          <cell r="G503">
            <v>0</v>
          </cell>
          <cell r="H503">
            <v>0</v>
          </cell>
          <cell r="I503">
            <v>0</v>
          </cell>
          <cell r="J503">
            <v>0</v>
          </cell>
          <cell r="K503">
            <v>9</v>
          </cell>
          <cell r="L503">
            <v>0</v>
          </cell>
          <cell r="M503">
            <v>0</v>
          </cell>
        </row>
        <row r="504">
          <cell r="C504">
            <v>0</v>
          </cell>
          <cell r="D504">
            <v>0</v>
          </cell>
          <cell r="E504">
            <v>0</v>
          </cell>
          <cell r="F504">
            <v>0</v>
          </cell>
          <cell r="G504">
            <v>0</v>
          </cell>
          <cell r="H504">
            <v>0</v>
          </cell>
          <cell r="I504">
            <v>0</v>
          </cell>
          <cell r="J504">
            <v>0</v>
          </cell>
          <cell r="K504">
            <v>9</v>
          </cell>
          <cell r="L504">
            <v>0</v>
          </cell>
          <cell r="M504">
            <v>0</v>
          </cell>
        </row>
        <row r="505">
          <cell r="C505">
            <v>0</v>
          </cell>
          <cell r="D505">
            <v>0</v>
          </cell>
          <cell r="E505">
            <v>0</v>
          </cell>
          <cell r="F505">
            <v>0</v>
          </cell>
          <cell r="G505">
            <v>0</v>
          </cell>
          <cell r="H505">
            <v>0</v>
          </cell>
          <cell r="I505">
            <v>0</v>
          </cell>
          <cell r="J505">
            <v>0</v>
          </cell>
          <cell r="K505">
            <v>9</v>
          </cell>
          <cell r="L505">
            <v>0</v>
          </cell>
          <cell r="M505">
            <v>0</v>
          </cell>
        </row>
        <row r="506">
          <cell r="C506">
            <v>0</v>
          </cell>
          <cell r="D506">
            <v>0</v>
          </cell>
          <cell r="E506">
            <v>0</v>
          </cell>
          <cell r="F506">
            <v>0</v>
          </cell>
          <cell r="G506">
            <v>0</v>
          </cell>
          <cell r="H506">
            <v>0</v>
          </cell>
          <cell r="I506">
            <v>0</v>
          </cell>
          <cell r="J506">
            <v>0</v>
          </cell>
          <cell r="K506">
            <v>9</v>
          </cell>
          <cell r="L506">
            <v>0</v>
          </cell>
          <cell r="M506">
            <v>0</v>
          </cell>
        </row>
        <row r="507">
          <cell r="C507">
            <v>0</v>
          </cell>
          <cell r="D507">
            <v>0</v>
          </cell>
          <cell r="E507">
            <v>0</v>
          </cell>
          <cell r="F507">
            <v>0</v>
          </cell>
          <cell r="G507">
            <v>0</v>
          </cell>
          <cell r="H507">
            <v>0</v>
          </cell>
          <cell r="I507">
            <v>0</v>
          </cell>
          <cell r="J507">
            <v>0</v>
          </cell>
          <cell r="K507">
            <v>9</v>
          </cell>
          <cell r="L507">
            <v>0</v>
          </cell>
          <cell r="M507">
            <v>0</v>
          </cell>
        </row>
        <row r="508">
          <cell r="C508">
            <v>0</v>
          </cell>
          <cell r="D508">
            <v>0</v>
          </cell>
          <cell r="E508">
            <v>0</v>
          </cell>
          <cell r="F508">
            <v>0</v>
          </cell>
          <cell r="G508">
            <v>0</v>
          </cell>
          <cell r="H508">
            <v>0</v>
          </cell>
          <cell r="I508">
            <v>0</v>
          </cell>
          <cell r="J508">
            <v>0</v>
          </cell>
          <cell r="K508">
            <v>9</v>
          </cell>
          <cell r="L508">
            <v>0</v>
          </cell>
          <cell r="M508">
            <v>0</v>
          </cell>
        </row>
        <row r="509">
          <cell r="C509">
            <v>0</v>
          </cell>
          <cell r="D509">
            <v>0</v>
          </cell>
          <cell r="E509">
            <v>0</v>
          </cell>
          <cell r="F509">
            <v>0</v>
          </cell>
          <cell r="G509">
            <v>0</v>
          </cell>
          <cell r="H509">
            <v>0</v>
          </cell>
          <cell r="I509">
            <v>0</v>
          </cell>
          <cell r="J509">
            <v>0</v>
          </cell>
          <cell r="K509">
            <v>9</v>
          </cell>
          <cell r="L509">
            <v>0</v>
          </cell>
          <cell r="M509">
            <v>0</v>
          </cell>
        </row>
        <row r="510">
          <cell r="C510">
            <v>0</v>
          </cell>
          <cell r="D510">
            <v>0</v>
          </cell>
          <cell r="E510">
            <v>0</v>
          </cell>
          <cell r="F510">
            <v>0</v>
          </cell>
          <cell r="G510">
            <v>0</v>
          </cell>
          <cell r="H510">
            <v>0</v>
          </cell>
          <cell r="I510">
            <v>0</v>
          </cell>
          <cell r="J510">
            <v>0</v>
          </cell>
          <cell r="K510">
            <v>9</v>
          </cell>
          <cell r="L510">
            <v>0</v>
          </cell>
          <cell r="M510">
            <v>0</v>
          </cell>
        </row>
        <row r="511">
          <cell r="C511">
            <v>0</v>
          </cell>
          <cell r="D511">
            <v>0</v>
          </cell>
          <cell r="E511">
            <v>0</v>
          </cell>
          <cell r="F511">
            <v>0</v>
          </cell>
          <cell r="G511">
            <v>0</v>
          </cell>
          <cell r="H511">
            <v>0</v>
          </cell>
          <cell r="I511">
            <v>0</v>
          </cell>
          <cell r="J511">
            <v>0</v>
          </cell>
          <cell r="K511">
            <v>9</v>
          </cell>
          <cell r="L511">
            <v>0</v>
          </cell>
          <cell r="M511">
            <v>0</v>
          </cell>
        </row>
        <row r="512">
          <cell r="C512">
            <v>0</v>
          </cell>
          <cell r="D512">
            <v>0</v>
          </cell>
          <cell r="E512">
            <v>0</v>
          </cell>
          <cell r="F512">
            <v>0</v>
          </cell>
          <cell r="G512">
            <v>0</v>
          </cell>
          <cell r="H512">
            <v>0</v>
          </cell>
          <cell r="I512">
            <v>0</v>
          </cell>
          <cell r="J512">
            <v>0</v>
          </cell>
          <cell r="K512">
            <v>9</v>
          </cell>
          <cell r="L512">
            <v>0</v>
          </cell>
          <cell r="M512">
            <v>0</v>
          </cell>
        </row>
        <row r="513">
          <cell r="C513">
            <v>0</v>
          </cell>
          <cell r="D513">
            <v>0</v>
          </cell>
          <cell r="E513">
            <v>0</v>
          </cell>
          <cell r="F513">
            <v>0</v>
          </cell>
          <cell r="G513">
            <v>0</v>
          </cell>
          <cell r="H513">
            <v>0</v>
          </cell>
          <cell r="I513">
            <v>0</v>
          </cell>
          <cell r="J513">
            <v>0</v>
          </cell>
          <cell r="K513">
            <v>9</v>
          </cell>
          <cell r="L513">
            <v>0</v>
          </cell>
          <cell r="M513">
            <v>0</v>
          </cell>
        </row>
        <row r="514">
          <cell r="C514">
            <v>0</v>
          </cell>
          <cell r="D514">
            <v>0</v>
          </cell>
          <cell r="E514">
            <v>0</v>
          </cell>
          <cell r="F514">
            <v>0</v>
          </cell>
          <cell r="G514">
            <v>0</v>
          </cell>
          <cell r="H514">
            <v>0</v>
          </cell>
          <cell r="I514">
            <v>0</v>
          </cell>
          <cell r="J514">
            <v>0</v>
          </cell>
          <cell r="K514">
            <v>9</v>
          </cell>
          <cell r="L514">
            <v>0</v>
          </cell>
          <cell r="M514">
            <v>0</v>
          </cell>
        </row>
        <row r="515">
          <cell r="C515">
            <v>0</v>
          </cell>
          <cell r="D515">
            <v>0</v>
          </cell>
          <cell r="E515">
            <v>0</v>
          </cell>
          <cell r="F515">
            <v>0</v>
          </cell>
          <cell r="G515">
            <v>0</v>
          </cell>
          <cell r="H515">
            <v>0</v>
          </cell>
          <cell r="I515">
            <v>0</v>
          </cell>
          <cell r="J515">
            <v>0</v>
          </cell>
          <cell r="K515">
            <v>9</v>
          </cell>
          <cell r="L515">
            <v>0</v>
          </cell>
          <cell r="M515">
            <v>0</v>
          </cell>
        </row>
        <row r="516">
          <cell r="C516">
            <v>0</v>
          </cell>
          <cell r="D516">
            <v>0</v>
          </cell>
          <cell r="E516">
            <v>0</v>
          </cell>
          <cell r="F516">
            <v>0</v>
          </cell>
          <cell r="G516">
            <v>0</v>
          </cell>
          <cell r="H516">
            <v>0</v>
          </cell>
          <cell r="I516">
            <v>0</v>
          </cell>
          <cell r="J516">
            <v>0</v>
          </cell>
          <cell r="K516">
            <v>9</v>
          </cell>
          <cell r="L516">
            <v>0</v>
          </cell>
          <cell r="M516">
            <v>0</v>
          </cell>
        </row>
        <row r="517">
          <cell r="C517">
            <v>0</v>
          </cell>
          <cell r="D517">
            <v>0</v>
          </cell>
          <cell r="E517">
            <v>0</v>
          </cell>
          <cell r="F517">
            <v>0</v>
          </cell>
          <cell r="G517">
            <v>0</v>
          </cell>
          <cell r="H517">
            <v>0</v>
          </cell>
          <cell r="I517">
            <v>0</v>
          </cell>
          <cell r="J517">
            <v>0</v>
          </cell>
          <cell r="K517">
            <v>9</v>
          </cell>
          <cell r="L517">
            <v>0</v>
          </cell>
          <cell r="M517">
            <v>0</v>
          </cell>
        </row>
        <row r="518">
          <cell r="C518">
            <v>0</v>
          </cell>
          <cell r="D518">
            <v>0</v>
          </cell>
          <cell r="E518">
            <v>0</v>
          </cell>
          <cell r="F518">
            <v>0</v>
          </cell>
          <cell r="G518">
            <v>0</v>
          </cell>
          <cell r="H518">
            <v>0</v>
          </cell>
          <cell r="I518">
            <v>0</v>
          </cell>
          <cell r="J518">
            <v>0</v>
          </cell>
          <cell r="K518">
            <v>9</v>
          </cell>
          <cell r="L518">
            <v>0</v>
          </cell>
          <cell r="M518">
            <v>0</v>
          </cell>
        </row>
        <row r="519">
          <cell r="C519">
            <v>0</v>
          </cell>
          <cell r="D519">
            <v>0</v>
          </cell>
          <cell r="E519">
            <v>0</v>
          </cell>
          <cell r="F519">
            <v>0</v>
          </cell>
          <cell r="G519">
            <v>0</v>
          </cell>
          <cell r="H519">
            <v>0</v>
          </cell>
          <cell r="I519">
            <v>0</v>
          </cell>
          <cell r="J519">
            <v>0</v>
          </cell>
          <cell r="K519">
            <v>9</v>
          </cell>
          <cell r="L519">
            <v>0</v>
          </cell>
          <cell r="M519">
            <v>0</v>
          </cell>
        </row>
        <row r="520">
          <cell r="C520">
            <v>0</v>
          </cell>
          <cell r="D520">
            <v>0</v>
          </cell>
          <cell r="E520">
            <v>0</v>
          </cell>
          <cell r="F520">
            <v>0</v>
          </cell>
          <cell r="G520">
            <v>0</v>
          </cell>
          <cell r="H520">
            <v>0</v>
          </cell>
          <cell r="I520">
            <v>0</v>
          </cell>
          <cell r="J520">
            <v>0</v>
          </cell>
          <cell r="K520">
            <v>9</v>
          </cell>
          <cell r="L520">
            <v>0</v>
          </cell>
          <cell r="M520">
            <v>0</v>
          </cell>
        </row>
        <row r="521">
          <cell r="C521">
            <v>0</v>
          </cell>
          <cell r="D521">
            <v>0</v>
          </cell>
          <cell r="E521">
            <v>0</v>
          </cell>
          <cell r="F521">
            <v>0</v>
          </cell>
          <cell r="G521">
            <v>0</v>
          </cell>
          <cell r="H521">
            <v>0</v>
          </cell>
          <cell r="I521">
            <v>0</v>
          </cell>
          <cell r="J521">
            <v>0</v>
          </cell>
          <cell r="K521">
            <v>9</v>
          </cell>
          <cell r="L521">
            <v>0</v>
          </cell>
          <cell r="M521">
            <v>0</v>
          </cell>
        </row>
        <row r="522">
          <cell r="C522">
            <v>0</v>
          </cell>
          <cell r="D522">
            <v>0</v>
          </cell>
          <cell r="E522">
            <v>0</v>
          </cell>
          <cell r="F522">
            <v>0</v>
          </cell>
          <cell r="G522">
            <v>0</v>
          </cell>
          <cell r="H522">
            <v>0</v>
          </cell>
          <cell r="I522">
            <v>0</v>
          </cell>
          <cell r="J522">
            <v>0</v>
          </cell>
          <cell r="K522">
            <v>9</v>
          </cell>
          <cell r="L522">
            <v>0</v>
          </cell>
          <cell r="M522">
            <v>0</v>
          </cell>
        </row>
        <row r="523">
          <cell r="C523">
            <v>0</v>
          </cell>
          <cell r="D523">
            <v>0</v>
          </cell>
          <cell r="E523">
            <v>0</v>
          </cell>
          <cell r="F523">
            <v>0</v>
          </cell>
          <cell r="G523">
            <v>0</v>
          </cell>
          <cell r="H523">
            <v>0</v>
          </cell>
          <cell r="I523">
            <v>0</v>
          </cell>
          <cell r="J523">
            <v>0</v>
          </cell>
          <cell r="K523">
            <v>9</v>
          </cell>
          <cell r="L523">
            <v>0</v>
          </cell>
          <cell r="M523">
            <v>0</v>
          </cell>
        </row>
        <row r="524">
          <cell r="C524">
            <v>0</v>
          </cell>
          <cell r="D524">
            <v>0</v>
          </cell>
          <cell r="E524">
            <v>0</v>
          </cell>
          <cell r="F524">
            <v>0</v>
          </cell>
          <cell r="G524">
            <v>0</v>
          </cell>
          <cell r="H524">
            <v>0</v>
          </cell>
          <cell r="I524">
            <v>0</v>
          </cell>
          <cell r="J524">
            <v>0</v>
          </cell>
          <cell r="K524">
            <v>9</v>
          </cell>
          <cell r="L524">
            <v>0</v>
          </cell>
          <cell r="M524">
            <v>0</v>
          </cell>
        </row>
        <row r="525">
          <cell r="C525">
            <v>0</v>
          </cell>
          <cell r="D525">
            <v>0</v>
          </cell>
          <cell r="E525">
            <v>0</v>
          </cell>
          <cell r="F525">
            <v>0</v>
          </cell>
          <cell r="G525">
            <v>0</v>
          </cell>
          <cell r="H525">
            <v>0</v>
          </cell>
          <cell r="I525">
            <v>0</v>
          </cell>
          <cell r="J525">
            <v>0</v>
          </cell>
          <cell r="K525">
            <v>9</v>
          </cell>
          <cell r="L525">
            <v>0</v>
          </cell>
          <cell r="M525">
            <v>0</v>
          </cell>
        </row>
        <row r="526">
          <cell r="C526">
            <v>0</v>
          </cell>
          <cell r="D526">
            <v>0</v>
          </cell>
          <cell r="E526">
            <v>0</v>
          </cell>
          <cell r="F526">
            <v>0</v>
          </cell>
          <cell r="G526">
            <v>0</v>
          </cell>
          <cell r="H526">
            <v>0</v>
          </cell>
          <cell r="I526">
            <v>0</v>
          </cell>
          <cell r="J526">
            <v>0</v>
          </cell>
          <cell r="K526">
            <v>9</v>
          </cell>
          <cell r="L526">
            <v>0</v>
          </cell>
          <cell r="M526">
            <v>0</v>
          </cell>
        </row>
        <row r="527">
          <cell r="C527">
            <v>0</v>
          </cell>
          <cell r="D527">
            <v>0</v>
          </cell>
          <cell r="E527">
            <v>0</v>
          </cell>
          <cell r="F527">
            <v>0</v>
          </cell>
          <cell r="G527">
            <v>0</v>
          </cell>
          <cell r="H527">
            <v>0</v>
          </cell>
          <cell r="I527">
            <v>0</v>
          </cell>
          <cell r="J527">
            <v>0</v>
          </cell>
          <cell r="K527">
            <v>9</v>
          </cell>
          <cell r="L527">
            <v>0</v>
          </cell>
          <cell r="M527">
            <v>0</v>
          </cell>
        </row>
        <row r="528">
          <cell r="C528">
            <v>0</v>
          </cell>
          <cell r="D528">
            <v>0</v>
          </cell>
          <cell r="E528">
            <v>0</v>
          </cell>
          <cell r="F528">
            <v>0</v>
          </cell>
          <cell r="G528">
            <v>0</v>
          </cell>
          <cell r="H528">
            <v>0</v>
          </cell>
          <cell r="I528">
            <v>0</v>
          </cell>
          <cell r="J528">
            <v>0</v>
          </cell>
          <cell r="K528">
            <v>9</v>
          </cell>
          <cell r="L528">
            <v>0</v>
          </cell>
          <cell r="M528">
            <v>0</v>
          </cell>
        </row>
        <row r="529">
          <cell r="C529">
            <v>0</v>
          </cell>
          <cell r="D529">
            <v>0</v>
          </cell>
          <cell r="E529">
            <v>0</v>
          </cell>
          <cell r="F529">
            <v>0</v>
          </cell>
          <cell r="G529">
            <v>0</v>
          </cell>
          <cell r="H529">
            <v>0</v>
          </cell>
          <cell r="I529">
            <v>0</v>
          </cell>
          <cell r="J529">
            <v>0</v>
          </cell>
          <cell r="K529">
            <v>9</v>
          </cell>
          <cell r="L529">
            <v>0</v>
          </cell>
          <cell r="M529">
            <v>0</v>
          </cell>
        </row>
        <row r="530">
          <cell r="C530">
            <v>0</v>
          </cell>
          <cell r="D530">
            <v>0</v>
          </cell>
          <cell r="E530">
            <v>0</v>
          </cell>
          <cell r="F530">
            <v>0</v>
          </cell>
          <cell r="G530">
            <v>0</v>
          </cell>
          <cell r="H530">
            <v>0</v>
          </cell>
          <cell r="I530">
            <v>0</v>
          </cell>
          <cell r="J530">
            <v>0</v>
          </cell>
          <cell r="K530">
            <v>9</v>
          </cell>
          <cell r="L530">
            <v>0</v>
          </cell>
          <cell r="M530">
            <v>0</v>
          </cell>
        </row>
        <row r="531">
          <cell r="C531">
            <v>0</v>
          </cell>
          <cell r="D531">
            <v>0</v>
          </cell>
          <cell r="E531">
            <v>0</v>
          </cell>
          <cell r="F531">
            <v>0</v>
          </cell>
          <cell r="G531">
            <v>0</v>
          </cell>
          <cell r="H531">
            <v>0</v>
          </cell>
          <cell r="I531">
            <v>0</v>
          </cell>
          <cell r="J531">
            <v>0</v>
          </cell>
          <cell r="K531">
            <v>9</v>
          </cell>
          <cell r="L531">
            <v>0</v>
          </cell>
          <cell r="M531">
            <v>0</v>
          </cell>
        </row>
        <row r="532">
          <cell r="C532">
            <v>0</v>
          </cell>
          <cell r="D532">
            <v>0</v>
          </cell>
          <cell r="E532">
            <v>0</v>
          </cell>
          <cell r="F532">
            <v>0</v>
          </cell>
          <cell r="G532">
            <v>0</v>
          </cell>
          <cell r="H532">
            <v>0</v>
          </cell>
          <cell r="I532">
            <v>0</v>
          </cell>
          <cell r="J532">
            <v>0</v>
          </cell>
          <cell r="K532">
            <v>9</v>
          </cell>
          <cell r="L532">
            <v>0</v>
          </cell>
          <cell r="M532">
            <v>0</v>
          </cell>
        </row>
        <row r="533">
          <cell r="C533">
            <v>0</v>
          </cell>
          <cell r="D533">
            <v>0</v>
          </cell>
          <cell r="E533">
            <v>0</v>
          </cell>
          <cell r="F533">
            <v>0</v>
          </cell>
          <cell r="G533">
            <v>0</v>
          </cell>
          <cell r="H533">
            <v>0</v>
          </cell>
          <cell r="I533">
            <v>0</v>
          </cell>
          <cell r="J533">
            <v>0</v>
          </cell>
          <cell r="K533">
            <v>9</v>
          </cell>
          <cell r="L533">
            <v>0</v>
          </cell>
          <cell r="M533">
            <v>0</v>
          </cell>
        </row>
        <row r="534">
          <cell r="C534">
            <v>0</v>
          </cell>
          <cell r="D534">
            <v>0</v>
          </cell>
          <cell r="E534">
            <v>0</v>
          </cell>
          <cell r="F534">
            <v>0</v>
          </cell>
          <cell r="G534">
            <v>0</v>
          </cell>
          <cell r="H534">
            <v>0</v>
          </cell>
          <cell r="I534">
            <v>0</v>
          </cell>
          <cell r="J534">
            <v>0</v>
          </cell>
          <cell r="K534">
            <v>9</v>
          </cell>
          <cell r="L534">
            <v>0</v>
          </cell>
          <cell r="M534">
            <v>0</v>
          </cell>
        </row>
        <row r="535">
          <cell r="C535">
            <v>0</v>
          </cell>
          <cell r="D535">
            <v>0</v>
          </cell>
          <cell r="E535">
            <v>0</v>
          </cell>
          <cell r="F535">
            <v>0</v>
          </cell>
          <cell r="G535">
            <v>0</v>
          </cell>
          <cell r="H535">
            <v>0</v>
          </cell>
          <cell r="I535">
            <v>0</v>
          </cell>
          <cell r="J535">
            <v>0</v>
          </cell>
          <cell r="K535">
            <v>9</v>
          </cell>
          <cell r="L535">
            <v>0</v>
          </cell>
          <cell r="M535">
            <v>0</v>
          </cell>
        </row>
        <row r="536">
          <cell r="C536">
            <v>0</v>
          </cell>
          <cell r="D536">
            <v>0</v>
          </cell>
          <cell r="E536">
            <v>0</v>
          </cell>
          <cell r="F536">
            <v>0</v>
          </cell>
          <cell r="G536">
            <v>0</v>
          </cell>
          <cell r="H536">
            <v>0</v>
          </cell>
          <cell r="I536">
            <v>0</v>
          </cell>
          <cell r="J536">
            <v>0</v>
          </cell>
          <cell r="K536">
            <v>9</v>
          </cell>
          <cell r="L536">
            <v>0</v>
          </cell>
          <cell r="M536">
            <v>0</v>
          </cell>
        </row>
        <row r="537">
          <cell r="C537">
            <v>0</v>
          </cell>
          <cell r="D537">
            <v>0</v>
          </cell>
          <cell r="E537">
            <v>0</v>
          </cell>
          <cell r="F537">
            <v>0</v>
          </cell>
          <cell r="G537">
            <v>0</v>
          </cell>
          <cell r="H537">
            <v>0</v>
          </cell>
          <cell r="I537">
            <v>0</v>
          </cell>
          <cell r="J537">
            <v>0</v>
          </cell>
          <cell r="K537">
            <v>9</v>
          </cell>
          <cell r="L537">
            <v>0</v>
          </cell>
          <cell r="M537">
            <v>0</v>
          </cell>
        </row>
        <row r="538">
          <cell r="C538">
            <v>0</v>
          </cell>
          <cell r="D538">
            <v>0</v>
          </cell>
          <cell r="E538">
            <v>0</v>
          </cell>
          <cell r="F538">
            <v>0</v>
          </cell>
          <cell r="G538">
            <v>0</v>
          </cell>
          <cell r="H538">
            <v>0</v>
          </cell>
          <cell r="I538">
            <v>0</v>
          </cell>
          <cell r="J538">
            <v>0</v>
          </cell>
          <cell r="K538">
            <v>9</v>
          </cell>
          <cell r="L538">
            <v>0</v>
          </cell>
          <cell r="M538">
            <v>0</v>
          </cell>
        </row>
        <row r="539">
          <cell r="C539">
            <v>0</v>
          </cell>
          <cell r="D539">
            <v>0</v>
          </cell>
          <cell r="E539">
            <v>0</v>
          </cell>
          <cell r="F539">
            <v>0</v>
          </cell>
          <cell r="G539">
            <v>0</v>
          </cell>
          <cell r="H539">
            <v>0</v>
          </cell>
          <cell r="I539">
            <v>0</v>
          </cell>
          <cell r="J539">
            <v>0</v>
          </cell>
          <cell r="K539">
            <v>9</v>
          </cell>
          <cell r="L539">
            <v>0</v>
          </cell>
          <cell r="M539">
            <v>0</v>
          </cell>
        </row>
        <row r="540">
          <cell r="C540">
            <v>0</v>
          </cell>
          <cell r="D540">
            <v>0</v>
          </cell>
          <cell r="E540">
            <v>0</v>
          </cell>
          <cell r="F540">
            <v>0</v>
          </cell>
          <cell r="G540">
            <v>0</v>
          </cell>
          <cell r="H540">
            <v>0</v>
          </cell>
          <cell r="I540">
            <v>0</v>
          </cell>
          <cell r="J540">
            <v>0</v>
          </cell>
          <cell r="K540">
            <v>9</v>
          </cell>
          <cell r="L540">
            <v>0</v>
          </cell>
          <cell r="M540">
            <v>0</v>
          </cell>
        </row>
        <row r="541">
          <cell r="C541">
            <v>0</v>
          </cell>
          <cell r="D541">
            <v>0</v>
          </cell>
          <cell r="E541">
            <v>0</v>
          </cell>
          <cell r="F541">
            <v>0</v>
          </cell>
          <cell r="G541">
            <v>0</v>
          </cell>
          <cell r="H541">
            <v>0</v>
          </cell>
          <cell r="I541">
            <v>0</v>
          </cell>
          <cell r="J541">
            <v>0</v>
          </cell>
          <cell r="K541">
            <v>9</v>
          </cell>
          <cell r="L541">
            <v>0</v>
          </cell>
          <cell r="M541">
            <v>0</v>
          </cell>
        </row>
        <row r="542">
          <cell r="C542">
            <v>0</v>
          </cell>
          <cell r="D542">
            <v>0</v>
          </cell>
          <cell r="E542">
            <v>0</v>
          </cell>
          <cell r="F542">
            <v>0</v>
          </cell>
          <cell r="G542">
            <v>0</v>
          </cell>
          <cell r="H542">
            <v>0</v>
          </cell>
          <cell r="I542">
            <v>0</v>
          </cell>
          <cell r="J542">
            <v>0</v>
          </cell>
          <cell r="K542">
            <v>9</v>
          </cell>
          <cell r="L542">
            <v>0</v>
          </cell>
          <cell r="M542">
            <v>0</v>
          </cell>
        </row>
        <row r="543">
          <cell r="C543">
            <v>0</v>
          </cell>
          <cell r="D543">
            <v>0</v>
          </cell>
          <cell r="E543">
            <v>0</v>
          </cell>
          <cell r="F543">
            <v>0</v>
          </cell>
          <cell r="G543">
            <v>0</v>
          </cell>
          <cell r="H543">
            <v>0</v>
          </cell>
          <cell r="I543">
            <v>0</v>
          </cell>
          <cell r="J543">
            <v>0</v>
          </cell>
          <cell r="K543">
            <v>9</v>
          </cell>
          <cell r="L543">
            <v>0</v>
          </cell>
          <cell r="M543">
            <v>0</v>
          </cell>
        </row>
        <row r="544">
          <cell r="C544">
            <v>0</v>
          </cell>
          <cell r="D544">
            <v>0</v>
          </cell>
          <cell r="E544">
            <v>0</v>
          </cell>
          <cell r="F544">
            <v>0</v>
          </cell>
          <cell r="G544">
            <v>0</v>
          </cell>
          <cell r="H544">
            <v>0</v>
          </cell>
          <cell r="I544">
            <v>0</v>
          </cell>
          <cell r="J544">
            <v>0</v>
          </cell>
          <cell r="K544">
            <v>9</v>
          </cell>
          <cell r="L544">
            <v>0</v>
          </cell>
          <cell r="M544">
            <v>0</v>
          </cell>
        </row>
        <row r="545">
          <cell r="C545">
            <v>0</v>
          </cell>
          <cell r="D545">
            <v>0</v>
          </cell>
          <cell r="E545">
            <v>0</v>
          </cell>
          <cell r="F545">
            <v>0</v>
          </cell>
          <cell r="G545">
            <v>0</v>
          </cell>
          <cell r="H545">
            <v>0</v>
          </cell>
          <cell r="I545">
            <v>0</v>
          </cell>
          <cell r="J545">
            <v>0</v>
          </cell>
          <cell r="K545">
            <v>9</v>
          </cell>
          <cell r="L545">
            <v>0</v>
          </cell>
          <cell r="M545">
            <v>0</v>
          </cell>
        </row>
        <row r="546">
          <cell r="C546">
            <v>0</v>
          </cell>
          <cell r="D546">
            <v>0</v>
          </cell>
          <cell r="E546">
            <v>0</v>
          </cell>
          <cell r="F546">
            <v>0</v>
          </cell>
          <cell r="G546">
            <v>0</v>
          </cell>
          <cell r="H546">
            <v>0</v>
          </cell>
          <cell r="I546">
            <v>0</v>
          </cell>
          <cell r="J546">
            <v>0</v>
          </cell>
          <cell r="K546">
            <v>9</v>
          </cell>
          <cell r="L546">
            <v>0</v>
          </cell>
          <cell r="M546">
            <v>0</v>
          </cell>
        </row>
        <row r="547">
          <cell r="C547">
            <v>0</v>
          </cell>
          <cell r="D547">
            <v>0</v>
          </cell>
          <cell r="E547">
            <v>0</v>
          </cell>
          <cell r="F547">
            <v>0</v>
          </cell>
          <cell r="G547">
            <v>0</v>
          </cell>
          <cell r="H547">
            <v>0</v>
          </cell>
          <cell r="I547">
            <v>0</v>
          </cell>
          <cell r="J547">
            <v>0</v>
          </cell>
          <cell r="K547">
            <v>9</v>
          </cell>
          <cell r="L547">
            <v>0</v>
          </cell>
          <cell r="M547">
            <v>0</v>
          </cell>
        </row>
        <row r="548">
          <cell r="C548">
            <v>0</v>
          </cell>
          <cell r="D548">
            <v>0</v>
          </cell>
          <cell r="E548">
            <v>0</v>
          </cell>
          <cell r="F548">
            <v>0</v>
          </cell>
          <cell r="G548">
            <v>0</v>
          </cell>
          <cell r="H548">
            <v>0</v>
          </cell>
          <cell r="I548">
            <v>0</v>
          </cell>
          <cell r="J548">
            <v>0</v>
          </cell>
          <cell r="K548">
            <v>9</v>
          </cell>
          <cell r="L548">
            <v>0</v>
          </cell>
          <cell r="M548">
            <v>0</v>
          </cell>
        </row>
        <row r="549">
          <cell r="C549">
            <v>0</v>
          </cell>
          <cell r="D549">
            <v>0</v>
          </cell>
          <cell r="E549">
            <v>0</v>
          </cell>
          <cell r="F549">
            <v>0</v>
          </cell>
          <cell r="G549">
            <v>0</v>
          </cell>
          <cell r="H549">
            <v>0</v>
          </cell>
          <cell r="I549">
            <v>0</v>
          </cell>
          <cell r="J549">
            <v>0</v>
          </cell>
          <cell r="K549">
            <v>9</v>
          </cell>
          <cell r="L549">
            <v>0</v>
          </cell>
          <cell r="M549">
            <v>0</v>
          </cell>
        </row>
        <row r="550">
          <cell r="C550">
            <v>0</v>
          </cell>
          <cell r="D550">
            <v>0</v>
          </cell>
          <cell r="E550">
            <v>0</v>
          </cell>
          <cell r="F550">
            <v>0</v>
          </cell>
          <cell r="G550">
            <v>0</v>
          </cell>
          <cell r="H550">
            <v>0</v>
          </cell>
          <cell r="I550">
            <v>0</v>
          </cell>
          <cell r="J550">
            <v>0</v>
          </cell>
          <cell r="K550">
            <v>9</v>
          </cell>
          <cell r="L550">
            <v>0</v>
          </cell>
          <cell r="M550">
            <v>0</v>
          </cell>
        </row>
        <row r="551">
          <cell r="C551">
            <v>0</v>
          </cell>
          <cell r="D551">
            <v>0</v>
          </cell>
          <cell r="E551">
            <v>0</v>
          </cell>
          <cell r="F551">
            <v>0</v>
          </cell>
          <cell r="G551">
            <v>0</v>
          </cell>
          <cell r="H551">
            <v>0</v>
          </cell>
          <cell r="I551">
            <v>0</v>
          </cell>
          <cell r="J551">
            <v>0</v>
          </cell>
          <cell r="K551">
            <v>9</v>
          </cell>
          <cell r="L551">
            <v>0</v>
          </cell>
          <cell r="M551">
            <v>0</v>
          </cell>
        </row>
        <row r="552">
          <cell r="C552">
            <v>0</v>
          </cell>
          <cell r="D552">
            <v>0</v>
          </cell>
          <cell r="E552">
            <v>0</v>
          </cell>
          <cell r="F552">
            <v>0</v>
          </cell>
          <cell r="G552">
            <v>0</v>
          </cell>
          <cell r="H552">
            <v>0</v>
          </cell>
          <cell r="I552">
            <v>0</v>
          </cell>
          <cell r="J552">
            <v>0</v>
          </cell>
          <cell r="K552">
            <v>9</v>
          </cell>
          <cell r="L552">
            <v>0</v>
          </cell>
          <cell r="M552">
            <v>0</v>
          </cell>
        </row>
        <row r="553">
          <cell r="C553">
            <v>0</v>
          </cell>
          <cell r="D553">
            <v>0</v>
          </cell>
          <cell r="E553">
            <v>0</v>
          </cell>
          <cell r="F553">
            <v>0</v>
          </cell>
          <cell r="G553">
            <v>0</v>
          </cell>
          <cell r="H553">
            <v>0</v>
          </cell>
          <cell r="I553">
            <v>0</v>
          </cell>
          <cell r="J553">
            <v>0</v>
          </cell>
          <cell r="K553">
            <v>9</v>
          </cell>
          <cell r="L553">
            <v>0</v>
          </cell>
          <cell r="M553">
            <v>0</v>
          </cell>
        </row>
        <row r="554">
          <cell r="C554">
            <v>0</v>
          </cell>
          <cell r="D554">
            <v>0</v>
          </cell>
          <cell r="E554">
            <v>0</v>
          </cell>
          <cell r="F554">
            <v>0</v>
          </cell>
          <cell r="G554">
            <v>0</v>
          </cell>
          <cell r="H554">
            <v>0</v>
          </cell>
          <cell r="I554">
            <v>0</v>
          </cell>
          <cell r="J554">
            <v>0</v>
          </cell>
          <cell r="K554">
            <v>9</v>
          </cell>
          <cell r="L554">
            <v>0</v>
          </cell>
          <cell r="M554">
            <v>0</v>
          </cell>
        </row>
        <row r="555">
          <cell r="C555">
            <v>0</v>
          </cell>
          <cell r="D555">
            <v>0</v>
          </cell>
          <cell r="E555">
            <v>0</v>
          </cell>
          <cell r="F555">
            <v>0</v>
          </cell>
          <cell r="G555">
            <v>0</v>
          </cell>
          <cell r="H555">
            <v>0</v>
          </cell>
          <cell r="I555">
            <v>0</v>
          </cell>
          <cell r="J555">
            <v>0</v>
          </cell>
          <cell r="K555">
            <v>9</v>
          </cell>
          <cell r="L555">
            <v>0</v>
          </cell>
          <cell r="M555">
            <v>0</v>
          </cell>
        </row>
        <row r="556">
          <cell r="C556">
            <v>0</v>
          </cell>
          <cell r="D556">
            <v>0</v>
          </cell>
          <cell r="E556">
            <v>0</v>
          </cell>
          <cell r="F556">
            <v>0</v>
          </cell>
          <cell r="G556">
            <v>0</v>
          </cell>
          <cell r="H556">
            <v>0</v>
          </cell>
          <cell r="I556">
            <v>0</v>
          </cell>
          <cell r="J556">
            <v>0</v>
          </cell>
          <cell r="K556">
            <v>9</v>
          </cell>
          <cell r="L556">
            <v>0</v>
          </cell>
          <cell r="M556">
            <v>0</v>
          </cell>
        </row>
        <row r="557">
          <cell r="C557">
            <v>0</v>
          </cell>
          <cell r="D557">
            <v>0</v>
          </cell>
          <cell r="E557">
            <v>0</v>
          </cell>
          <cell r="F557">
            <v>0</v>
          </cell>
          <cell r="G557">
            <v>0</v>
          </cell>
          <cell r="H557">
            <v>0</v>
          </cell>
          <cell r="I557">
            <v>0</v>
          </cell>
          <cell r="J557">
            <v>0</v>
          </cell>
          <cell r="K557">
            <v>9</v>
          </cell>
          <cell r="L557">
            <v>0</v>
          </cell>
          <cell r="M557">
            <v>0</v>
          </cell>
        </row>
        <row r="558">
          <cell r="C558">
            <v>0</v>
          </cell>
          <cell r="D558">
            <v>0</v>
          </cell>
          <cell r="E558">
            <v>0</v>
          </cell>
          <cell r="F558">
            <v>0</v>
          </cell>
          <cell r="G558">
            <v>0</v>
          </cell>
          <cell r="H558">
            <v>0</v>
          </cell>
          <cell r="I558">
            <v>0</v>
          </cell>
          <cell r="J558">
            <v>0</v>
          </cell>
          <cell r="K558">
            <v>9</v>
          </cell>
          <cell r="L558">
            <v>0</v>
          </cell>
          <cell r="M558">
            <v>0</v>
          </cell>
        </row>
        <row r="559">
          <cell r="C559">
            <v>0</v>
          </cell>
          <cell r="D559">
            <v>0</v>
          </cell>
          <cell r="E559">
            <v>0</v>
          </cell>
          <cell r="F559">
            <v>0</v>
          </cell>
          <cell r="G559">
            <v>0</v>
          </cell>
          <cell r="H559">
            <v>0</v>
          </cell>
          <cell r="I559">
            <v>0</v>
          </cell>
          <cell r="J559">
            <v>0</v>
          </cell>
          <cell r="K559">
            <v>9</v>
          </cell>
          <cell r="L559">
            <v>0</v>
          </cell>
          <cell r="M559">
            <v>0</v>
          </cell>
        </row>
        <row r="560">
          <cell r="C560">
            <v>0</v>
          </cell>
          <cell r="D560">
            <v>0</v>
          </cell>
          <cell r="E560">
            <v>0</v>
          </cell>
          <cell r="F560">
            <v>0</v>
          </cell>
          <cell r="G560">
            <v>0</v>
          </cell>
          <cell r="H560">
            <v>0</v>
          </cell>
          <cell r="I560">
            <v>0</v>
          </cell>
          <cell r="J560">
            <v>0</v>
          </cell>
          <cell r="K560">
            <v>9</v>
          </cell>
          <cell r="L560">
            <v>0</v>
          </cell>
          <cell r="M560">
            <v>0</v>
          </cell>
        </row>
        <row r="561">
          <cell r="C561">
            <v>0</v>
          </cell>
          <cell r="D561">
            <v>0</v>
          </cell>
          <cell r="E561">
            <v>0</v>
          </cell>
          <cell r="F561">
            <v>0</v>
          </cell>
          <cell r="G561">
            <v>0</v>
          </cell>
          <cell r="H561">
            <v>0</v>
          </cell>
          <cell r="I561">
            <v>0</v>
          </cell>
          <cell r="J561">
            <v>0</v>
          </cell>
          <cell r="K561">
            <v>9</v>
          </cell>
          <cell r="L561">
            <v>0</v>
          </cell>
          <cell r="M561">
            <v>0</v>
          </cell>
        </row>
        <row r="562">
          <cell r="C562">
            <v>0</v>
          </cell>
          <cell r="D562">
            <v>0</v>
          </cell>
          <cell r="E562">
            <v>0</v>
          </cell>
          <cell r="F562">
            <v>0</v>
          </cell>
          <cell r="G562">
            <v>0</v>
          </cell>
          <cell r="H562">
            <v>0</v>
          </cell>
          <cell r="I562">
            <v>0</v>
          </cell>
          <cell r="J562">
            <v>0</v>
          </cell>
          <cell r="K562">
            <v>9</v>
          </cell>
          <cell r="L562">
            <v>0</v>
          </cell>
          <cell r="M562">
            <v>0</v>
          </cell>
        </row>
        <row r="563">
          <cell r="C563">
            <v>0</v>
          </cell>
          <cell r="D563">
            <v>0</v>
          </cell>
          <cell r="E563">
            <v>0</v>
          </cell>
          <cell r="F563">
            <v>0</v>
          </cell>
          <cell r="G563">
            <v>0</v>
          </cell>
          <cell r="H563">
            <v>0</v>
          </cell>
          <cell r="I563">
            <v>0</v>
          </cell>
          <cell r="J563">
            <v>0</v>
          </cell>
          <cell r="K563">
            <v>9</v>
          </cell>
          <cell r="L563">
            <v>0</v>
          </cell>
          <cell r="M563">
            <v>0</v>
          </cell>
        </row>
        <row r="564">
          <cell r="C564">
            <v>0</v>
          </cell>
          <cell r="D564">
            <v>0</v>
          </cell>
          <cell r="E564">
            <v>0</v>
          </cell>
          <cell r="F564">
            <v>0</v>
          </cell>
          <cell r="G564">
            <v>0</v>
          </cell>
          <cell r="H564">
            <v>0</v>
          </cell>
          <cell r="I564">
            <v>0</v>
          </cell>
          <cell r="J564">
            <v>0</v>
          </cell>
          <cell r="K564">
            <v>9</v>
          </cell>
          <cell r="L564">
            <v>0</v>
          </cell>
          <cell r="M564">
            <v>0</v>
          </cell>
        </row>
        <row r="565">
          <cell r="C565">
            <v>0</v>
          </cell>
          <cell r="D565">
            <v>0</v>
          </cell>
          <cell r="E565">
            <v>0</v>
          </cell>
          <cell r="F565">
            <v>0</v>
          </cell>
          <cell r="G565">
            <v>0</v>
          </cell>
          <cell r="H565">
            <v>0</v>
          </cell>
          <cell r="I565">
            <v>0</v>
          </cell>
          <cell r="J565">
            <v>0</v>
          </cell>
          <cell r="K565">
            <v>9</v>
          </cell>
          <cell r="L565">
            <v>0</v>
          </cell>
          <cell r="M565">
            <v>0</v>
          </cell>
        </row>
        <row r="566">
          <cell r="C566">
            <v>0</v>
          </cell>
          <cell r="D566">
            <v>0</v>
          </cell>
          <cell r="E566">
            <v>0</v>
          </cell>
          <cell r="F566">
            <v>0</v>
          </cell>
          <cell r="G566">
            <v>0</v>
          </cell>
          <cell r="H566">
            <v>0</v>
          </cell>
          <cell r="I566">
            <v>0</v>
          </cell>
          <cell r="J566">
            <v>0</v>
          </cell>
          <cell r="K566">
            <v>9</v>
          </cell>
          <cell r="L566">
            <v>0</v>
          </cell>
          <cell r="M566">
            <v>0</v>
          </cell>
        </row>
        <row r="567">
          <cell r="C567">
            <v>0</v>
          </cell>
          <cell r="D567">
            <v>0</v>
          </cell>
          <cell r="E567">
            <v>0</v>
          </cell>
          <cell r="F567">
            <v>0</v>
          </cell>
          <cell r="G567">
            <v>0</v>
          </cell>
          <cell r="H567">
            <v>0</v>
          </cell>
          <cell r="I567">
            <v>0</v>
          </cell>
          <cell r="J567">
            <v>0</v>
          </cell>
          <cell r="K567">
            <v>9</v>
          </cell>
          <cell r="L567">
            <v>0</v>
          </cell>
          <cell r="M567">
            <v>0</v>
          </cell>
        </row>
        <row r="568">
          <cell r="C568">
            <v>0</v>
          </cell>
          <cell r="D568">
            <v>0</v>
          </cell>
          <cell r="E568">
            <v>0</v>
          </cell>
          <cell r="F568">
            <v>0</v>
          </cell>
          <cell r="G568">
            <v>0</v>
          </cell>
          <cell r="H568">
            <v>0</v>
          </cell>
          <cell r="I568">
            <v>0</v>
          </cell>
          <cell r="J568">
            <v>0</v>
          </cell>
          <cell r="K568">
            <v>9</v>
          </cell>
          <cell r="L568">
            <v>0</v>
          </cell>
          <cell r="M568">
            <v>0</v>
          </cell>
        </row>
        <row r="569">
          <cell r="C569">
            <v>0</v>
          </cell>
          <cell r="D569">
            <v>0</v>
          </cell>
          <cell r="E569">
            <v>0</v>
          </cell>
          <cell r="F569">
            <v>0</v>
          </cell>
          <cell r="G569">
            <v>0</v>
          </cell>
          <cell r="H569">
            <v>0</v>
          </cell>
          <cell r="I569">
            <v>0</v>
          </cell>
          <cell r="J569">
            <v>0</v>
          </cell>
          <cell r="K569">
            <v>9</v>
          </cell>
          <cell r="L569">
            <v>0</v>
          </cell>
          <cell r="M569">
            <v>0</v>
          </cell>
        </row>
        <row r="570">
          <cell r="C570">
            <v>0</v>
          </cell>
          <cell r="D570">
            <v>0</v>
          </cell>
          <cell r="E570">
            <v>0</v>
          </cell>
          <cell r="F570">
            <v>0</v>
          </cell>
          <cell r="G570">
            <v>0</v>
          </cell>
          <cell r="H570">
            <v>0</v>
          </cell>
          <cell r="I570">
            <v>0</v>
          </cell>
          <cell r="J570">
            <v>0</v>
          </cell>
          <cell r="K570">
            <v>9</v>
          </cell>
          <cell r="L570">
            <v>0</v>
          </cell>
          <cell r="M570">
            <v>0</v>
          </cell>
        </row>
        <row r="571">
          <cell r="C571">
            <v>0</v>
          </cell>
          <cell r="D571">
            <v>0</v>
          </cell>
          <cell r="E571">
            <v>0</v>
          </cell>
          <cell r="F571">
            <v>0</v>
          </cell>
          <cell r="G571">
            <v>0</v>
          </cell>
          <cell r="H571">
            <v>0</v>
          </cell>
          <cell r="I571">
            <v>0</v>
          </cell>
          <cell r="J571">
            <v>0</v>
          </cell>
          <cell r="K571">
            <v>9</v>
          </cell>
          <cell r="L571">
            <v>0</v>
          </cell>
          <cell r="M571">
            <v>0</v>
          </cell>
        </row>
        <row r="572">
          <cell r="C572">
            <v>0</v>
          </cell>
          <cell r="D572">
            <v>0</v>
          </cell>
          <cell r="E572">
            <v>0</v>
          </cell>
          <cell r="F572">
            <v>0</v>
          </cell>
          <cell r="G572">
            <v>0</v>
          </cell>
          <cell r="H572">
            <v>0</v>
          </cell>
          <cell r="I572">
            <v>0</v>
          </cell>
          <cell r="J572">
            <v>0</v>
          </cell>
          <cell r="K572">
            <v>9</v>
          </cell>
          <cell r="L572">
            <v>0</v>
          </cell>
          <cell r="M572">
            <v>0</v>
          </cell>
        </row>
        <row r="573">
          <cell r="C573">
            <v>0</v>
          </cell>
          <cell r="D573">
            <v>0</v>
          </cell>
          <cell r="E573">
            <v>0</v>
          </cell>
          <cell r="F573">
            <v>0</v>
          </cell>
          <cell r="G573">
            <v>0</v>
          </cell>
          <cell r="H573">
            <v>0</v>
          </cell>
          <cell r="I573">
            <v>0</v>
          </cell>
          <cell r="J573">
            <v>0</v>
          </cell>
          <cell r="K573">
            <v>9</v>
          </cell>
          <cell r="L573">
            <v>0</v>
          </cell>
          <cell r="M573">
            <v>0</v>
          </cell>
        </row>
        <row r="574">
          <cell r="C574">
            <v>0</v>
          </cell>
          <cell r="D574">
            <v>0</v>
          </cell>
          <cell r="E574">
            <v>0</v>
          </cell>
          <cell r="F574">
            <v>0</v>
          </cell>
          <cell r="G574">
            <v>0</v>
          </cell>
          <cell r="H574">
            <v>0</v>
          </cell>
          <cell r="I574">
            <v>0</v>
          </cell>
          <cell r="J574">
            <v>0</v>
          </cell>
          <cell r="K574">
            <v>9</v>
          </cell>
          <cell r="L574">
            <v>0</v>
          </cell>
          <cell r="M574">
            <v>0</v>
          </cell>
        </row>
        <row r="575">
          <cell r="C575">
            <v>0</v>
          </cell>
          <cell r="D575">
            <v>0</v>
          </cell>
          <cell r="E575">
            <v>0</v>
          </cell>
          <cell r="F575">
            <v>0</v>
          </cell>
          <cell r="G575">
            <v>0</v>
          </cell>
          <cell r="H575">
            <v>0</v>
          </cell>
          <cell r="I575">
            <v>0</v>
          </cell>
          <cell r="J575">
            <v>0</v>
          </cell>
          <cell r="K575">
            <v>9</v>
          </cell>
          <cell r="L575">
            <v>0</v>
          </cell>
          <cell r="M575">
            <v>0</v>
          </cell>
        </row>
        <row r="576">
          <cell r="C576">
            <v>0</v>
          </cell>
          <cell r="D576">
            <v>0</v>
          </cell>
          <cell r="E576">
            <v>0</v>
          </cell>
          <cell r="F576">
            <v>0</v>
          </cell>
          <cell r="G576">
            <v>0</v>
          </cell>
          <cell r="H576">
            <v>0</v>
          </cell>
          <cell r="I576">
            <v>0</v>
          </cell>
          <cell r="J576">
            <v>0</v>
          </cell>
          <cell r="K576">
            <v>9</v>
          </cell>
          <cell r="L576">
            <v>0</v>
          </cell>
          <cell r="M576">
            <v>0</v>
          </cell>
        </row>
        <row r="577">
          <cell r="C577">
            <v>0</v>
          </cell>
          <cell r="D577">
            <v>0</v>
          </cell>
          <cell r="E577">
            <v>0</v>
          </cell>
          <cell r="F577">
            <v>0</v>
          </cell>
          <cell r="G577">
            <v>0</v>
          </cell>
          <cell r="H577">
            <v>0</v>
          </cell>
          <cell r="I577">
            <v>0</v>
          </cell>
          <cell r="J577">
            <v>0</v>
          </cell>
          <cell r="K577">
            <v>9</v>
          </cell>
          <cell r="L577">
            <v>0</v>
          </cell>
          <cell r="M577">
            <v>0</v>
          </cell>
        </row>
        <row r="578">
          <cell r="C578">
            <v>0</v>
          </cell>
          <cell r="D578">
            <v>0</v>
          </cell>
          <cell r="E578">
            <v>0</v>
          </cell>
          <cell r="F578">
            <v>0</v>
          </cell>
          <cell r="G578">
            <v>0</v>
          </cell>
          <cell r="H578">
            <v>0</v>
          </cell>
          <cell r="I578">
            <v>0</v>
          </cell>
          <cell r="J578">
            <v>0</v>
          </cell>
          <cell r="K578">
            <v>9</v>
          </cell>
          <cell r="L578">
            <v>0</v>
          </cell>
          <cell r="M578">
            <v>0</v>
          </cell>
        </row>
        <row r="579">
          <cell r="C579">
            <v>0</v>
          </cell>
          <cell r="D579">
            <v>0</v>
          </cell>
          <cell r="E579">
            <v>0</v>
          </cell>
          <cell r="F579">
            <v>0</v>
          </cell>
          <cell r="G579">
            <v>0</v>
          </cell>
          <cell r="H579">
            <v>0</v>
          </cell>
          <cell r="I579">
            <v>0</v>
          </cell>
          <cell r="J579">
            <v>0</v>
          </cell>
          <cell r="K579">
            <v>9</v>
          </cell>
          <cell r="L579">
            <v>0</v>
          </cell>
          <cell r="M579">
            <v>0</v>
          </cell>
        </row>
        <row r="580">
          <cell r="C580">
            <v>0</v>
          </cell>
          <cell r="D580">
            <v>0</v>
          </cell>
          <cell r="E580">
            <v>0</v>
          </cell>
          <cell r="F580">
            <v>0</v>
          </cell>
          <cell r="G580">
            <v>0</v>
          </cell>
          <cell r="H580">
            <v>0</v>
          </cell>
          <cell r="I580">
            <v>0</v>
          </cell>
          <cell r="J580">
            <v>0</v>
          </cell>
          <cell r="K580">
            <v>9</v>
          </cell>
          <cell r="L580">
            <v>0</v>
          </cell>
          <cell r="M580">
            <v>0</v>
          </cell>
        </row>
        <row r="581">
          <cell r="C581">
            <v>0</v>
          </cell>
          <cell r="D581">
            <v>0</v>
          </cell>
          <cell r="E581">
            <v>0</v>
          </cell>
          <cell r="F581">
            <v>0</v>
          </cell>
          <cell r="G581">
            <v>0</v>
          </cell>
          <cell r="H581">
            <v>0</v>
          </cell>
          <cell r="I581">
            <v>0</v>
          </cell>
          <cell r="J581">
            <v>0</v>
          </cell>
          <cell r="K581">
            <v>9</v>
          </cell>
          <cell r="L581">
            <v>0</v>
          </cell>
          <cell r="M581">
            <v>0</v>
          </cell>
        </row>
        <row r="582">
          <cell r="C582">
            <v>0</v>
          </cell>
          <cell r="D582">
            <v>0</v>
          </cell>
          <cell r="E582">
            <v>0</v>
          </cell>
          <cell r="F582">
            <v>0</v>
          </cell>
          <cell r="G582">
            <v>0</v>
          </cell>
          <cell r="H582">
            <v>0</v>
          </cell>
          <cell r="I582">
            <v>0</v>
          </cell>
          <cell r="J582">
            <v>0</v>
          </cell>
          <cell r="K582">
            <v>9</v>
          </cell>
          <cell r="L582">
            <v>0</v>
          </cell>
          <cell r="M582">
            <v>0</v>
          </cell>
        </row>
        <row r="583">
          <cell r="C583">
            <v>0</v>
          </cell>
          <cell r="D583">
            <v>0</v>
          </cell>
          <cell r="E583">
            <v>0</v>
          </cell>
          <cell r="F583">
            <v>0</v>
          </cell>
          <cell r="G583">
            <v>0</v>
          </cell>
          <cell r="H583">
            <v>0</v>
          </cell>
          <cell r="I583">
            <v>0</v>
          </cell>
          <cell r="J583">
            <v>0</v>
          </cell>
          <cell r="K583">
            <v>9</v>
          </cell>
          <cell r="L583">
            <v>0</v>
          </cell>
          <cell r="M583">
            <v>0</v>
          </cell>
        </row>
        <row r="584">
          <cell r="C584">
            <v>0</v>
          </cell>
          <cell r="D584">
            <v>0</v>
          </cell>
          <cell r="E584">
            <v>0</v>
          </cell>
          <cell r="F584">
            <v>0</v>
          </cell>
          <cell r="G584">
            <v>0</v>
          </cell>
          <cell r="H584">
            <v>0</v>
          </cell>
          <cell r="I584">
            <v>0</v>
          </cell>
          <cell r="J584">
            <v>0</v>
          </cell>
          <cell r="K584">
            <v>9</v>
          </cell>
          <cell r="L584">
            <v>0</v>
          </cell>
          <cell r="M584">
            <v>0</v>
          </cell>
        </row>
        <row r="585">
          <cell r="C585">
            <v>0</v>
          </cell>
          <cell r="D585">
            <v>0</v>
          </cell>
          <cell r="E585">
            <v>0</v>
          </cell>
          <cell r="F585">
            <v>0</v>
          </cell>
          <cell r="G585">
            <v>0</v>
          </cell>
          <cell r="H585">
            <v>0</v>
          </cell>
          <cell r="I585">
            <v>0</v>
          </cell>
          <cell r="J585">
            <v>0</v>
          </cell>
          <cell r="K585">
            <v>9</v>
          </cell>
          <cell r="L585">
            <v>0</v>
          </cell>
          <cell r="M585">
            <v>0</v>
          </cell>
        </row>
        <row r="586">
          <cell r="C586">
            <v>0</v>
          </cell>
          <cell r="D586">
            <v>0</v>
          </cell>
          <cell r="E586">
            <v>0</v>
          </cell>
          <cell r="F586">
            <v>0</v>
          </cell>
          <cell r="G586">
            <v>0</v>
          </cell>
          <cell r="H586">
            <v>0</v>
          </cell>
          <cell r="I586">
            <v>0</v>
          </cell>
          <cell r="J586">
            <v>0</v>
          </cell>
          <cell r="K586">
            <v>9</v>
          </cell>
          <cell r="L586">
            <v>0</v>
          </cell>
          <cell r="M586">
            <v>0</v>
          </cell>
        </row>
        <row r="587">
          <cell r="C587">
            <v>0</v>
          </cell>
          <cell r="D587">
            <v>0</v>
          </cell>
          <cell r="E587">
            <v>0</v>
          </cell>
          <cell r="F587">
            <v>0</v>
          </cell>
          <cell r="G587">
            <v>0</v>
          </cell>
          <cell r="H587">
            <v>0</v>
          </cell>
          <cell r="I587">
            <v>0</v>
          </cell>
          <cell r="J587">
            <v>0</v>
          </cell>
          <cell r="K587">
            <v>9</v>
          </cell>
          <cell r="L587">
            <v>0</v>
          </cell>
          <cell r="M587">
            <v>0</v>
          </cell>
        </row>
        <row r="588">
          <cell r="C588">
            <v>0</v>
          </cell>
          <cell r="D588">
            <v>0</v>
          </cell>
          <cell r="E588">
            <v>0</v>
          </cell>
          <cell r="F588">
            <v>0</v>
          </cell>
          <cell r="G588">
            <v>0</v>
          </cell>
          <cell r="H588">
            <v>0</v>
          </cell>
          <cell r="I588">
            <v>0</v>
          </cell>
          <cell r="J588">
            <v>0</v>
          </cell>
          <cell r="K588">
            <v>9</v>
          </cell>
          <cell r="L588">
            <v>0</v>
          </cell>
          <cell r="M588">
            <v>0</v>
          </cell>
        </row>
        <row r="589">
          <cell r="C589">
            <v>0</v>
          </cell>
          <cell r="D589">
            <v>0</v>
          </cell>
          <cell r="E589">
            <v>0</v>
          </cell>
          <cell r="F589">
            <v>0</v>
          </cell>
          <cell r="G589">
            <v>0</v>
          </cell>
          <cell r="H589">
            <v>0</v>
          </cell>
          <cell r="I589">
            <v>0</v>
          </cell>
          <cell r="J589">
            <v>0</v>
          </cell>
          <cell r="K589">
            <v>9</v>
          </cell>
          <cell r="L589">
            <v>0</v>
          </cell>
          <cell r="M589">
            <v>0</v>
          </cell>
        </row>
        <row r="590">
          <cell r="C590">
            <v>0</v>
          </cell>
          <cell r="D590">
            <v>0</v>
          </cell>
          <cell r="E590">
            <v>0</v>
          </cell>
          <cell r="F590">
            <v>0</v>
          </cell>
          <cell r="G590">
            <v>0</v>
          </cell>
          <cell r="H590">
            <v>0</v>
          </cell>
          <cell r="I590">
            <v>0</v>
          </cell>
          <cell r="J590">
            <v>0</v>
          </cell>
          <cell r="K590">
            <v>9</v>
          </cell>
          <cell r="L590">
            <v>0</v>
          </cell>
          <cell r="M590">
            <v>0</v>
          </cell>
        </row>
        <row r="591">
          <cell r="C591">
            <v>0</v>
          </cell>
          <cell r="D591">
            <v>0</v>
          </cell>
          <cell r="E591">
            <v>0</v>
          </cell>
          <cell r="F591">
            <v>0</v>
          </cell>
          <cell r="G591">
            <v>0</v>
          </cell>
          <cell r="H591">
            <v>0</v>
          </cell>
          <cell r="I591">
            <v>0</v>
          </cell>
          <cell r="J591">
            <v>0</v>
          </cell>
          <cell r="K591">
            <v>9</v>
          </cell>
          <cell r="L591">
            <v>0</v>
          </cell>
          <cell r="M591">
            <v>0</v>
          </cell>
        </row>
        <row r="592">
          <cell r="C592">
            <v>0</v>
          </cell>
          <cell r="D592">
            <v>0</v>
          </cell>
          <cell r="E592">
            <v>0</v>
          </cell>
          <cell r="F592">
            <v>0</v>
          </cell>
          <cell r="G592">
            <v>0</v>
          </cell>
          <cell r="H592">
            <v>0</v>
          </cell>
          <cell r="I592">
            <v>0</v>
          </cell>
          <cell r="J592">
            <v>0</v>
          </cell>
          <cell r="K592">
            <v>9</v>
          </cell>
          <cell r="L592">
            <v>0</v>
          </cell>
          <cell r="M592">
            <v>0</v>
          </cell>
        </row>
        <row r="593">
          <cell r="C593">
            <v>0</v>
          </cell>
          <cell r="D593">
            <v>0</v>
          </cell>
          <cell r="E593">
            <v>0</v>
          </cell>
          <cell r="F593">
            <v>0</v>
          </cell>
          <cell r="G593">
            <v>0</v>
          </cell>
          <cell r="H593">
            <v>0</v>
          </cell>
          <cell r="I593">
            <v>0</v>
          </cell>
          <cell r="J593">
            <v>0</v>
          </cell>
          <cell r="K593">
            <v>9</v>
          </cell>
          <cell r="L593">
            <v>0</v>
          </cell>
          <cell r="M593">
            <v>0</v>
          </cell>
        </row>
        <row r="594">
          <cell r="C594">
            <v>0</v>
          </cell>
          <cell r="D594">
            <v>0</v>
          </cell>
          <cell r="E594">
            <v>0</v>
          </cell>
          <cell r="F594">
            <v>0</v>
          </cell>
          <cell r="G594">
            <v>0</v>
          </cell>
          <cell r="H594">
            <v>0</v>
          </cell>
          <cell r="I594">
            <v>0</v>
          </cell>
          <cell r="J594">
            <v>0</v>
          </cell>
          <cell r="K594">
            <v>9</v>
          </cell>
          <cell r="L594">
            <v>0</v>
          </cell>
          <cell r="M594">
            <v>0</v>
          </cell>
        </row>
        <row r="595">
          <cell r="C595">
            <v>0</v>
          </cell>
          <cell r="D595">
            <v>0</v>
          </cell>
          <cell r="E595">
            <v>0</v>
          </cell>
          <cell r="F595">
            <v>0</v>
          </cell>
          <cell r="G595">
            <v>0</v>
          </cell>
          <cell r="H595">
            <v>0</v>
          </cell>
          <cell r="I595">
            <v>0</v>
          </cell>
          <cell r="J595">
            <v>0</v>
          </cell>
          <cell r="K595">
            <v>9</v>
          </cell>
          <cell r="L595">
            <v>0</v>
          </cell>
          <cell r="M595">
            <v>0</v>
          </cell>
        </row>
        <row r="596">
          <cell r="C596">
            <v>0</v>
          </cell>
          <cell r="D596">
            <v>0</v>
          </cell>
          <cell r="E596">
            <v>0</v>
          </cell>
          <cell r="F596">
            <v>0</v>
          </cell>
          <cell r="G596">
            <v>0</v>
          </cell>
          <cell r="H596">
            <v>0</v>
          </cell>
          <cell r="I596">
            <v>0</v>
          </cell>
          <cell r="J596">
            <v>0</v>
          </cell>
          <cell r="K596">
            <v>9</v>
          </cell>
          <cell r="L596">
            <v>0</v>
          </cell>
          <cell r="M596">
            <v>0</v>
          </cell>
        </row>
        <row r="597">
          <cell r="C597">
            <v>0</v>
          </cell>
          <cell r="D597">
            <v>0</v>
          </cell>
          <cell r="E597">
            <v>0</v>
          </cell>
          <cell r="F597">
            <v>0</v>
          </cell>
          <cell r="G597">
            <v>0</v>
          </cell>
          <cell r="H597">
            <v>0</v>
          </cell>
          <cell r="I597">
            <v>0</v>
          </cell>
          <cell r="J597">
            <v>0</v>
          </cell>
          <cell r="K597">
            <v>9</v>
          </cell>
          <cell r="L597">
            <v>0</v>
          </cell>
          <cell r="M597">
            <v>0</v>
          </cell>
        </row>
        <row r="598">
          <cell r="C598">
            <v>0</v>
          </cell>
          <cell r="D598">
            <v>0</v>
          </cell>
          <cell r="E598">
            <v>0</v>
          </cell>
          <cell r="F598">
            <v>0</v>
          </cell>
          <cell r="G598">
            <v>0</v>
          </cell>
          <cell r="H598">
            <v>0</v>
          </cell>
          <cell r="I598">
            <v>0</v>
          </cell>
          <cell r="J598">
            <v>0</v>
          </cell>
          <cell r="K598">
            <v>9</v>
          </cell>
          <cell r="L598">
            <v>0</v>
          </cell>
          <cell r="M598">
            <v>0</v>
          </cell>
        </row>
        <row r="599">
          <cell r="C599">
            <v>0</v>
          </cell>
          <cell r="D599">
            <v>0</v>
          </cell>
          <cell r="E599">
            <v>0</v>
          </cell>
          <cell r="F599">
            <v>0</v>
          </cell>
          <cell r="G599">
            <v>0</v>
          </cell>
          <cell r="H599">
            <v>0</v>
          </cell>
          <cell r="I599">
            <v>0</v>
          </cell>
          <cell r="J599">
            <v>0</v>
          </cell>
          <cell r="K599">
            <v>9</v>
          </cell>
          <cell r="L599">
            <v>0</v>
          </cell>
          <cell r="M599">
            <v>0</v>
          </cell>
        </row>
        <row r="600">
          <cell r="C600">
            <v>0</v>
          </cell>
          <cell r="D600">
            <v>0</v>
          </cell>
          <cell r="E600">
            <v>0</v>
          </cell>
          <cell r="F600">
            <v>0</v>
          </cell>
          <cell r="G600">
            <v>0</v>
          </cell>
          <cell r="H600">
            <v>0</v>
          </cell>
          <cell r="I600">
            <v>0</v>
          </cell>
          <cell r="J600">
            <v>0</v>
          </cell>
          <cell r="K600">
            <v>9</v>
          </cell>
          <cell r="L600">
            <v>0</v>
          </cell>
          <cell r="M600">
            <v>0</v>
          </cell>
        </row>
        <row r="601">
          <cell r="C601">
            <v>0</v>
          </cell>
          <cell r="D601">
            <v>0</v>
          </cell>
          <cell r="E601">
            <v>0</v>
          </cell>
          <cell r="F601">
            <v>0</v>
          </cell>
          <cell r="G601">
            <v>0</v>
          </cell>
          <cell r="H601">
            <v>0</v>
          </cell>
          <cell r="I601">
            <v>0</v>
          </cell>
          <cell r="J601">
            <v>0</v>
          </cell>
          <cell r="K601">
            <v>9</v>
          </cell>
          <cell r="L601">
            <v>0</v>
          </cell>
          <cell r="M601">
            <v>0</v>
          </cell>
        </row>
        <row r="602">
          <cell r="C602">
            <v>0</v>
          </cell>
          <cell r="D602">
            <v>0</v>
          </cell>
          <cell r="E602">
            <v>0</v>
          </cell>
          <cell r="F602">
            <v>0</v>
          </cell>
          <cell r="G602">
            <v>0</v>
          </cell>
          <cell r="H602">
            <v>0</v>
          </cell>
          <cell r="I602">
            <v>0</v>
          </cell>
          <cell r="J602">
            <v>0</v>
          </cell>
          <cell r="K602">
            <v>9</v>
          </cell>
          <cell r="L602">
            <v>0</v>
          </cell>
          <cell r="M602">
            <v>0</v>
          </cell>
        </row>
        <row r="603">
          <cell r="C603">
            <v>0</v>
          </cell>
          <cell r="D603">
            <v>0</v>
          </cell>
          <cell r="E603">
            <v>0</v>
          </cell>
          <cell r="F603">
            <v>0</v>
          </cell>
          <cell r="G603">
            <v>0</v>
          </cell>
          <cell r="H603">
            <v>0</v>
          </cell>
          <cell r="I603">
            <v>0</v>
          </cell>
          <cell r="J603">
            <v>0</v>
          </cell>
          <cell r="K603">
            <v>9</v>
          </cell>
          <cell r="L603">
            <v>0</v>
          </cell>
          <cell r="M603">
            <v>0</v>
          </cell>
        </row>
        <row r="604">
          <cell r="C604">
            <v>0</v>
          </cell>
          <cell r="D604">
            <v>0</v>
          </cell>
          <cell r="E604">
            <v>0</v>
          </cell>
          <cell r="F604">
            <v>0</v>
          </cell>
          <cell r="G604">
            <v>0</v>
          </cell>
          <cell r="H604">
            <v>0</v>
          </cell>
          <cell r="I604">
            <v>0</v>
          </cell>
          <cell r="J604">
            <v>0</v>
          </cell>
          <cell r="K604">
            <v>9</v>
          </cell>
          <cell r="L604">
            <v>0</v>
          </cell>
          <cell r="M604">
            <v>0</v>
          </cell>
        </row>
        <row r="605">
          <cell r="C605">
            <v>0</v>
          </cell>
          <cell r="D605">
            <v>0</v>
          </cell>
          <cell r="E605">
            <v>0</v>
          </cell>
          <cell r="F605">
            <v>0</v>
          </cell>
          <cell r="G605">
            <v>0</v>
          </cell>
          <cell r="H605">
            <v>0</v>
          </cell>
          <cell r="I605">
            <v>0</v>
          </cell>
          <cell r="J605">
            <v>0</v>
          </cell>
          <cell r="K605">
            <v>9</v>
          </cell>
          <cell r="L605">
            <v>0</v>
          </cell>
          <cell r="M605">
            <v>0</v>
          </cell>
        </row>
        <row r="606">
          <cell r="C606">
            <v>0</v>
          </cell>
          <cell r="D606">
            <v>0</v>
          </cell>
          <cell r="E606">
            <v>0</v>
          </cell>
          <cell r="F606">
            <v>0</v>
          </cell>
          <cell r="G606">
            <v>0</v>
          </cell>
          <cell r="H606">
            <v>0</v>
          </cell>
          <cell r="I606">
            <v>0</v>
          </cell>
          <cell r="J606">
            <v>0</v>
          </cell>
          <cell r="K606">
            <v>9</v>
          </cell>
          <cell r="L606">
            <v>0</v>
          </cell>
          <cell r="M606">
            <v>0</v>
          </cell>
        </row>
        <row r="607">
          <cell r="C607">
            <v>0</v>
          </cell>
          <cell r="D607">
            <v>0</v>
          </cell>
          <cell r="E607">
            <v>0</v>
          </cell>
          <cell r="F607">
            <v>0</v>
          </cell>
          <cell r="G607">
            <v>0</v>
          </cell>
          <cell r="H607">
            <v>0</v>
          </cell>
          <cell r="I607">
            <v>0</v>
          </cell>
          <cell r="J607">
            <v>0</v>
          </cell>
          <cell r="K607">
            <v>9</v>
          </cell>
          <cell r="L607">
            <v>0</v>
          </cell>
          <cell r="M607">
            <v>0</v>
          </cell>
        </row>
        <row r="608">
          <cell r="C608">
            <v>0</v>
          </cell>
          <cell r="D608">
            <v>0</v>
          </cell>
          <cell r="E608">
            <v>0</v>
          </cell>
          <cell r="F608">
            <v>0</v>
          </cell>
          <cell r="G608">
            <v>0</v>
          </cell>
          <cell r="H608">
            <v>0</v>
          </cell>
          <cell r="I608">
            <v>0</v>
          </cell>
          <cell r="J608">
            <v>0</v>
          </cell>
          <cell r="K608">
            <v>9</v>
          </cell>
          <cell r="L608">
            <v>0</v>
          </cell>
          <cell r="M608">
            <v>0</v>
          </cell>
        </row>
        <row r="609">
          <cell r="C609">
            <v>0</v>
          </cell>
          <cell r="D609">
            <v>0</v>
          </cell>
          <cell r="E609">
            <v>0</v>
          </cell>
          <cell r="F609">
            <v>0</v>
          </cell>
          <cell r="G609">
            <v>0</v>
          </cell>
          <cell r="H609">
            <v>0</v>
          </cell>
          <cell r="I609">
            <v>0</v>
          </cell>
          <cell r="J609">
            <v>0</v>
          </cell>
          <cell r="K609">
            <v>9</v>
          </cell>
          <cell r="L609">
            <v>0</v>
          </cell>
          <cell r="M609">
            <v>0</v>
          </cell>
        </row>
        <row r="610">
          <cell r="C610">
            <v>0</v>
          </cell>
          <cell r="D610">
            <v>0</v>
          </cell>
          <cell r="E610">
            <v>0</v>
          </cell>
          <cell r="F610">
            <v>0</v>
          </cell>
          <cell r="G610">
            <v>0</v>
          </cell>
          <cell r="H610">
            <v>0</v>
          </cell>
          <cell r="I610">
            <v>0</v>
          </cell>
          <cell r="J610">
            <v>0</v>
          </cell>
          <cell r="K610">
            <v>9</v>
          </cell>
          <cell r="L610">
            <v>0</v>
          </cell>
          <cell r="M610">
            <v>0</v>
          </cell>
        </row>
        <row r="611">
          <cell r="C611">
            <v>0</v>
          </cell>
          <cell r="D611">
            <v>0</v>
          </cell>
          <cell r="E611">
            <v>0</v>
          </cell>
          <cell r="F611">
            <v>0</v>
          </cell>
          <cell r="G611">
            <v>0</v>
          </cell>
          <cell r="H611">
            <v>0</v>
          </cell>
          <cell r="I611">
            <v>0</v>
          </cell>
          <cell r="J611">
            <v>0</v>
          </cell>
          <cell r="K611">
            <v>9</v>
          </cell>
          <cell r="L611">
            <v>0</v>
          </cell>
          <cell r="M611">
            <v>0</v>
          </cell>
        </row>
        <row r="612">
          <cell r="C612">
            <v>0</v>
          </cell>
          <cell r="D612">
            <v>0</v>
          </cell>
          <cell r="E612">
            <v>0</v>
          </cell>
          <cell r="F612">
            <v>0</v>
          </cell>
          <cell r="G612">
            <v>0</v>
          </cell>
          <cell r="H612">
            <v>0</v>
          </cell>
          <cell r="I612">
            <v>0</v>
          </cell>
          <cell r="J612">
            <v>0</v>
          </cell>
          <cell r="K612">
            <v>9</v>
          </cell>
          <cell r="L612">
            <v>0</v>
          </cell>
          <cell r="M612">
            <v>0</v>
          </cell>
        </row>
        <row r="613">
          <cell r="C613">
            <v>0</v>
          </cell>
          <cell r="D613">
            <v>0</v>
          </cell>
          <cell r="E613">
            <v>0</v>
          </cell>
          <cell r="F613">
            <v>0</v>
          </cell>
          <cell r="G613">
            <v>0</v>
          </cell>
          <cell r="H613">
            <v>0</v>
          </cell>
          <cell r="I613">
            <v>0</v>
          </cell>
          <cell r="J613">
            <v>0</v>
          </cell>
          <cell r="K613">
            <v>9</v>
          </cell>
          <cell r="L613">
            <v>0</v>
          </cell>
          <cell r="M613">
            <v>0</v>
          </cell>
        </row>
        <row r="614">
          <cell r="C614">
            <v>0</v>
          </cell>
          <cell r="D614">
            <v>0</v>
          </cell>
          <cell r="E614">
            <v>0</v>
          </cell>
          <cell r="F614">
            <v>0</v>
          </cell>
          <cell r="G614">
            <v>0</v>
          </cell>
          <cell r="H614">
            <v>0</v>
          </cell>
          <cell r="I614">
            <v>0</v>
          </cell>
          <cell r="J614">
            <v>0</v>
          </cell>
          <cell r="K614">
            <v>9</v>
          </cell>
          <cell r="L614">
            <v>0</v>
          </cell>
          <cell r="M614">
            <v>0</v>
          </cell>
        </row>
        <row r="615">
          <cell r="C615">
            <v>0</v>
          </cell>
          <cell r="D615">
            <v>0</v>
          </cell>
          <cell r="E615">
            <v>0</v>
          </cell>
          <cell r="F615">
            <v>0</v>
          </cell>
          <cell r="G615">
            <v>0</v>
          </cell>
          <cell r="H615">
            <v>0</v>
          </cell>
          <cell r="I615">
            <v>0</v>
          </cell>
          <cell r="J615">
            <v>0</v>
          </cell>
          <cell r="K615">
            <v>9</v>
          </cell>
          <cell r="L615">
            <v>0</v>
          </cell>
          <cell r="M615">
            <v>0</v>
          </cell>
        </row>
        <row r="616">
          <cell r="C616">
            <v>0</v>
          </cell>
          <cell r="D616">
            <v>0</v>
          </cell>
          <cell r="E616">
            <v>0</v>
          </cell>
          <cell r="F616">
            <v>0</v>
          </cell>
          <cell r="G616">
            <v>0</v>
          </cell>
          <cell r="H616">
            <v>0</v>
          </cell>
          <cell r="I616">
            <v>0</v>
          </cell>
          <cell r="J616">
            <v>0</v>
          </cell>
          <cell r="K616">
            <v>9</v>
          </cell>
          <cell r="L616">
            <v>0</v>
          </cell>
          <cell r="M616">
            <v>0</v>
          </cell>
        </row>
        <row r="617">
          <cell r="C617">
            <v>0</v>
          </cell>
          <cell r="D617">
            <v>0</v>
          </cell>
          <cell r="E617">
            <v>0</v>
          </cell>
          <cell r="F617">
            <v>0</v>
          </cell>
          <cell r="G617">
            <v>0</v>
          </cell>
          <cell r="H617">
            <v>0</v>
          </cell>
          <cell r="I617">
            <v>0</v>
          </cell>
          <cell r="J617">
            <v>0</v>
          </cell>
          <cell r="K617">
            <v>9</v>
          </cell>
          <cell r="L617">
            <v>0</v>
          </cell>
          <cell r="M617">
            <v>0</v>
          </cell>
        </row>
        <row r="618">
          <cell r="C618">
            <v>0</v>
          </cell>
          <cell r="D618">
            <v>0</v>
          </cell>
          <cell r="E618">
            <v>0</v>
          </cell>
          <cell r="F618">
            <v>0</v>
          </cell>
          <cell r="G618">
            <v>0</v>
          </cell>
          <cell r="H618">
            <v>0</v>
          </cell>
          <cell r="I618">
            <v>0</v>
          </cell>
          <cell r="J618">
            <v>0</v>
          </cell>
          <cell r="K618">
            <v>9</v>
          </cell>
          <cell r="L618">
            <v>0</v>
          </cell>
          <cell r="M618">
            <v>0</v>
          </cell>
        </row>
        <row r="619">
          <cell r="C619">
            <v>0</v>
          </cell>
          <cell r="D619">
            <v>0</v>
          </cell>
          <cell r="E619">
            <v>0</v>
          </cell>
          <cell r="F619">
            <v>0</v>
          </cell>
          <cell r="G619">
            <v>0</v>
          </cell>
          <cell r="H619">
            <v>0</v>
          </cell>
          <cell r="I619">
            <v>0</v>
          </cell>
          <cell r="J619">
            <v>0</v>
          </cell>
          <cell r="K619">
            <v>9</v>
          </cell>
          <cell r="L619">
            <v>0</v>
          </cell>
          <cell r="M619">
            <v>0</v>
          </cell>
        </row>
        <row r="620">
          <cell r="C620">
            <v>0</v>
          </cell>
          <cell r="D620">
            <v>0</v>
          </cell>
          <cell r="E620">
            <v>0</v>
          </cell>
          <cell r="F620">
            <v>0</v>
          </cell>
          <cell r="G620">
            <v>0</v>
          </cell>
          <cell r="H620">
            <v>0</v>
          </cell>
          <cell r="I620">
            <v>0</v>
          </cell>
          <cell r="J620">
            <v>0</v>
          </cell>
          <cell r="K620">
            <v>9</v>
          </cell>
          <cell r="L620">
            <v>0</v>
          </cell>
          <cell r="M620">
            <v>0</v>
          </cell>
        </row>
        <row r="621">
          <cell r="C621">
            <v>0</v>
          </cell>
          <cell r="D621">
            <v>0</v>
          </cell>
          <cell r="E621">
            <v>0</v>
          </cell>
          <cell r="F621">
            <v>0</v>
          </cell>
          <cell r="G621">
            <v>0</v>
          </cell>
          <cell r="H621">
            <v>0</v>
          </cell>
          <cell r="I621">
            <v>0</v>
          </cell>
          <cell r="J621">
            <v>0</v>
          </cell>
          <cell r="K621">
            <v>9</v>
          </cell>
          <cell r="L621">
            <v>0</v>
          </cell>
          <cell r="M621">
            <v>0</v>
          </cell>
        </row>
        <row r="622">
          <cell r="C622">
            <v>0</v>
          </cell>
          <cell r="D622">
            <v>0</v>
          </cell>
          <cell r="E622">
            <v>0</v>
          </cell>
          <cell r="F622">
            <v>0</v>
          </cell>
          <cell r="G622">
            <v>0</v>
          </cell>
          <cell r="H622">
            <v>0</v>
          </cell>
          <cell r="I622">
            <v>0</v>
          </cell>
          <cell r="J622">
            <v>0</v>
          </cell>
          <cell r="K622">
            <v>9</v>
          </cell>
          <cell r="L622">
            <v>0</v>
          </cell>
          <cell r="M622">
            <v>0</v>
          </cell>
        </row>
        <row r="623">
          <cell r="C623">
            <v>0</v>
          </cell>
          <cell r="D623">
            <v>0</v>
          </cell>
          <cell r="E623">
            <v>0</v>
          </cell>
          <cell r="F623">
            <v>0</v>
          </cell>
          <cell r="G623">
            <v>0</v>
          </cell>
          <cell r="H623">
            <v>0</v>
          </cell>
          <cell r="I623">
            <v>0</v>
          </cell>
          <cell r="J623">
            <v>0</v>
          </cell>
          <cell r="K623">
            <v>9</v>
          </cell>
          <cell r="L623">
            <v>0</v>
          </cell>
          <cell r="M623">
            <v>0</v>
          </cell>
        </row>
        <row r="624">
          <cell r="C624">
            <v>0</v>
          </cell>
          <cell r="D624">
            <v>0</v>
          </cell>
          <cell r="E624">
            <v>0</v>
          </cell>
          <cell r="F624">
            <v>0</v>
          </cell>
          <cell r="G624">
            <v>0</v>
          </cell>
          <cell r="H624">
            <v>0</v>
          </cell>
          <cell r="I624">
            <v>0</v>
          </cell>
          <cell r="J624">
            <v>0</v>
          </cell>
          <cell r="K624">
            <v>9</v>
          </cell>
          <cell r="L624">
            <v>0</v>
          </cell>
          <cell r="M624">
            <v>0</v>
          </cell>
        </row>
        <row r="625">
          <cell r="C625">
            <v>0</v>
          </cell>
          <cell r="D625">
            <v>0</v>
          </cell>
          <cell r="E625">
            <v>0</v>
          </cell>
          <cell r="F625">
            <v>0</v>
          </cell>
          <cell r="G625">
            <v>0</v>
          </cell>
          <cell r="H625">
            <v>0</v>
          </cell>
          <cell r="I625">
            <v>0</v>
          </cell>
          <cell r="J625">
            <v>0</v>
          </cell>
          <cell r="K625">
            <v>9</v>
          </cell>
          <cell r="L625">
            <v>0</v>
          </cell>
          <cell r="M625">
            <v>0</v>
          </cell>
        </row>
        <row r="626">
          <cell r="C626">
            <v>0</v>
          </cell>
          <cell r="D626">
            <v>0</v>
          </cell>
          <cell r="E626">
            <v>0</v>
          </cell>
          <cell r="F626">
            <v>0</v>
          </cell>
          <cell r="G626">
            <v>0</v>
          </cell>
          <cell r="H626">
            <v>0</v>
          </cell>
          <cell r="I626">
            <v>0</v>
          </cell>
          <cell r="J626">
            <v>0</v>
          </cell>
          <cell r="K626">
            <v>9</v>
          </cell>
          <cell r="L626">
            <v>0</v>
          </cell>
          <cell r="M626">
            <v>0</v>
          </cell>
        </row>
        <row r="627">
          <cell r="C627">
            <v>0</v>
          </cell>
          <cell r="D627">
            <v>0</v>
          </cell>
          <cell r="E627">
            <v>0</v>
          </cell>
          <cell r="F627">
            <v>0</v>
          </cell>
          <cell r="G627">
            <v>0</v>
          </cell>
          <cell r="H627">
            <v>0</v>
          </cell>
          <cell r="I627">
            <v>0</v>
          </cell>
          <cell r="J627">
            <v>0</v>
          </cell>
          <cell r="K627">
            <v>9</v>
          </cell>
          <cell r="L627">
            <v>0</v>
          </cell>
          <cell r="M627">
            <v>0</v>
          </cell>
        </row>
        <row r="628">
          <cell r="C628">
            <v>0</v>
          </cell>
          <cell r="D628">
            <v>0</v>
          </cell>
          <cell r="E628">
            <v>0</v>
          </cell>
          <cell r="F628">
            <v>0</v>
          </cell>
          <cell r="G628">
            <v>0</v>
          </cell>
          <cell r="H628">
            <v>0</v>
          </cell>
          <cell r="I628">
            <v>0</v>
          </cell>
          <cell r="J628">
            <v>0</v>
          </cell>
          <cell r="K628">
            <v>9</v>
          </cell>
          <cell r="L628">
            <v>0</v>
          </cell>
          <cell r="M628">
            <v>0</v>
          </cell>
        </row>
        <row r="629">
          <cell r="C629">
            <v>0</v>
          </cell>
          <cell r="D629">
            <v>0</v>
          </cell>
          <cell r="E629">
            <v>0</v>
          </cell>
          <cell r="F629">
            <v>0</v>
          </cell>
          <cell r="G629">
            <v>0</v>
          </cell>
          <cell r="H629">
            <v>0</v>
          </cell>
          <cell r="I629">
            <v>0</v>
          </cell>
          <cell r="J629">
            <v>0</v>
          </cell>
          <cell r="K629">
            <v>9</v>
          </cell>
          <cell r="L629">
            <v>0</v>
          </cell>
          <cell r="M629">
            <v>0</v>
          </cell>
        </row>
        <row r="630">
          <cell r="C630">
            <v>0</v>
          </cell>
          <cell r="D630">
            <v>0</v>
          </cell>
          <cell r="E630">
            <v>0</v>
          </cell>
          <cell r="F630">
            <v>0</v>
          </cell>
          <cell r="G630">
            <v>0</v>
          </cell>
          <cell r="H630">
            <v>0</v>
          </cell>
          <cell r="I630">
            <v>0</v>
          </cell>
          <cell r="J630">
            <v>0</v>
          </cell>
          <cell r="K630">
            <v>9</v>
          </cell>
          <cell r="L630">
            <v>0</v>
          </cell>
          <cell r="M630">
            <v>0</v>
          </cell>
        </row>
        <row r="631">
          <cell r="C631">
            <v>0</v>
          </cell>
          <cell r="D631">
            <v>0</v>
          </cell>
          <cell r="E631">
            <v>0</v>
          </cell>
          <cell r="F631">
            <v>0</v>
          </cell>
          <cell r="G631">
            <v>0</v>
          </cell>
          <cell r="H631">
            <v>0</v>
          </cell>
          <cell r="I631">
            <v>0</v>
          </cell>
          <cell r="J631">
            <v>0</v>
          </cell>
          <cell r="K631">
            <v>9</v>
          </cell>
          <cell r="L631">
            <v>0</v>
          </cell>
          <cell r="M631">
            <v>0</v>
          </cell>
        </row>
        <row r="632">
          <cell r="C632">
            <v>0</v>
          </cell>
          <cell r="D632">
            <v>0</v>
          </cell>
          <cell r="E632">
            <v>0</v>
          </cell>
          <cell r="F632">
            <v>0</v>
          </cell>
          <cell r="G632">
            <v>0</v>
          </cell>
          <cell r="H632">
            <v>0</v>
          </cell>
          <cell r="I632">
            <v>0</v>
          </cell>
          <cell r="J632">
            <v>0</v>
          </cell>
          <cell r="K632">
            <v>9</v>
          </cell>
          <cell r="L632">
            <v>0</v>
          </cell>
          <cell r="M632">
            <v>0</v>
          </cell>
        </row>
        <row r="633">
          <cell r="C633">
            <v>0</v>
          </cell>
          <cell r="D633">
            <v>0</v>
          </cell>
          <cell r="E633">
            <v>0</v>
          </cell>
          <cell r="F633">
            <v>0</v>
          </cell>
          <cell r="G633">
            <v>0</v>
          </cell>
          <cell r="H633">
            <v>0</v>
          </cell>
          <cell r="I633">
            <v>0</v>
          </cell>
          <cell r="J633">
            <v>0</v>
          </cell>
          <cell r="K633">
            <v>9</v>
          </cell>
          <cell r="L633">
            <v>0</v>
          </cell>
          <cell r="M633">
            <v>0</v>
          </cell>
        </row>
        <row r="634">
          <cell r="C634">
            <v>0</v>
          </cell>
          <cell r="D634">
            <v>0</v>
          </cell>
          <cell r="E634">
            <v>0</v>
          </cell>
          <cell r="F634">
            <v>0</v>
          </cell>
          <cell r="G634">
            <v>0</v>
          </cell>
          <cell r="H634">
            <v>0</v>
          </cell>
          <cell r="I634">
            <v>0</v>
          </cell>
          <cell r="J634">
            <v>0</v>
          </cell>
          <cell r="K634">
            <v>9</v>
          </cell>
          <cell r="L634">
            <v>0</v>
          </cell>
          <cell r="M634">
            <v>0</v>
          </cell>
        </row>
        <row r="635">
          <cell r="C635">
            <v>0</v>
          </cell>
          <cell r="D635">
            <v>0</v>
          </cell>
          <cell r="E635">
            <v>0</v>
          </cell>
          <cell r="F635">
            <v>0</v>
          </cell>
          <cell r="G635">
            <v>0</v>
          </cell>
          <cell r="H635">
            <v>0</v>
          </cell>
          <cell r="I635">
            <v>0</v>
          </cell>
          <cell r="J635">
            <v>0</v>
          </cell>
          <cell r="K635">
            <v>9</v>
          </cell>
          <cell r="L635">
            <v>0</v>
          </cell>
          <cell r="M635">
            <v>0</v>
          </cell>
        </row>
        <row r="636">
          <cell r="C636">
            <v>0</v>
          </cell>
          <cell r="D636">
            <v>0</v>
          </cell>
          <cell r="E636">
            <v>0</v>
          </cell>
          <cell r="F636">
            <v>0</v>
          </cell>
          <cell r="G636">
            <v>0</v>
          </cell>
          <cell r="H636">
            <v>0</v>
          </cell>
          <cell r="I636">
            <v>0</v>
          </cell>
          <cell r="J636">
            <v>0</v>
          </cell>
          <cell r="K636">
            <v>9</v>
          </cell>
          <cell r="L636">
            <v>0</v>
          </cell>
          <cell r="M636">
            <v>0</v>
          </cell>
        </row>
        <row r="637">
          <cell r="C637">
            <v>0</v>
          </cell>
          <cell r="D637">
            <v>0</v>
          </cell>
          <cell r="E637">
            <v>0</v>
          </cell>
          <cell r="F637">
            <v>0</v>
          </cell>
          <cell r="G637">
            <v>0</v>
          </cell>
          <cell r="H637">
            <v>0</v>
          </cell>
          <cell r="I637">
            <v>0</v>
          </cell>
          <cell r="J637">
            <v>0</v>
          </cell>
          <cell r="K637">
            <v>9</v>
          </cell>
          <cell r="L637">
            <v>0</v>
          </cell>
          <cell r="M637">
            <v>0</v>
          </cell>
        </row>
        <row r="638">
          <cell r="C638">
            <v>0</v>
          </cell>
          <cell r="D638">
            <v>0</v>
          </cell>
          <cell r="E638">
            <v>0</v>
          </cell>
          <cell r="F638">
            <v>0</v>
          </cell>
          <cell r="G638">
            <v>0</v>
          </cell>
          <cell r="H638">
            <v>0</v>
          </cell>
          <cell r="I638">
            <v>0</v>
          </cell>
          <cell r="J638">
            <v>0</v>
          </cell>
          <cell r="K638">
            <v>9</v>
          </cell>
          <cell r="L638">
            <v>0</v>
          </cell>
          <cell r="M638">
            <v>0</v>
          </cell>
        </row>
        <row r="639">
          <cell r="C639">
            <v>0</v>
          </cell>
          <cell r="D639">
            <v>0</v>
          </cell>
          <cell r="E639">
            <v>0</v>
          </cell>
          <cell r="F639">
            <v>0</v>
          </cell>
          <cell r="G639">
            <v>0</v>
          </cell>
          <cell r="H639">
            <v>0</v>
          </cell>
          <cell r="I639">
            <v>0</v>
          </cell>
          <cell r="J639">
            <v>0</v>
          </cell>
          <cell r="K639">
            <v>9</v>
          </cell>
          <cell r="L639">
            <v>0</v>
          </cell>
          <cell r="M639">
            <v>0</v>
          </cell>
        </row>
        <row r="640">
          <cell r="C640">
            <v>0</v>
          </cell>
          <cell r="D640">
            <v>0</v>
          </cell>
          <cell r="E640">
            <v>0</v>
          </cell>
          <cell r="F640">
            <v>0</v>
          </cell>
          <cell r="G640">
            <v>0</v>
          </cell>
          <cell r="H640">
            <v>0</v>
          </cell>
          <cell r="I640">
            <v>0</v>
          </cell>
          <cell r="J640">
            <v>0</v>
          </cell>
          <cell r="K640">
            <v>9</v>
          </cell>
          <cell r="L640">
            <v>0</v>
          </cell>
          <cell r="M640">
            <v>0</v>
          </cell>
        </row>
        <row r="641">
          <cell r="C641">
            <v>0</v>
          </cell>
          <cell r="D641">
            <v>0</v>
          </cell>
          <cell r="E641">
            <v>0</v>
          </cell>
          <cell r="F641">
            <v>0</v>
          </cell>
          <cell r="G641">
            <v>0</v>
          </cell>
          <cell r="H641">
            <v>0</v>
          </cell>
          <cell r="I641">
            <v>0</v>
          </cell>
          <cell r="J641">
            <v>0</v>
          </cell>
          <cell r="K641">
            <v>9</v>
          </cell>
          <cell r="L641">
            <v>0</v>
          </cell>
          <cell r="M641">
            <v>0</v>
          </cell>
        </row>
        <row r="642">
          <cell r="C642">
            <v>0</v>
          </cell>
          <cell r="D642">
            <v>0</v>
          </cell>
          <cell r="E642">
            <v>0</v>
          </cell>
          <cell r="F642">
            <v>0</v>
          </cell>
          <cell r="G642">
            <v>0</v>
          </cell>
          <cell r="H642">
            <v>0</v>
          </cell>
          <cell r="I642">
            <v>0</v>
          </cell>
          <cell r="J642">
            <v>0</v>
          </cell>
          <cell r="K642">
            <v>9</v>
          </cell>
          <cell r="L642">
            <v>0</v>
          </cell>
          <cell r="M642">
            <v>0</v>
          </cell>
        </row>
        <row r="643">
          <cell r="C643">
            <v>0</v>
          </cell>
          <cell r="D643">
            <v>0</v>
          </cell>
          <cell r="E643">
            <v>0</v>
          </cell>
          <cell r="F643">
            <v>0</v>
          </cell>
          <cell r="G643">
            <v>0</v>
          </cell>
          <cell r="H643">
            <v>0</v>
          </cell>
          <cell r="I643">
            <v>0</v>
          </cell>
          <cell r="J643">
            <v>0</v>
          </cell>
          <cell r="K643">
            <v>9</v>
          </cell>
          <cell r="L643">
            <v>0</v>
          </cell>
          <cell r="M643">
            <v>0</v>
          </cell>
        </row>
        <row r="644">
          <cell r="C644">
            <v>0</v>
          </cell>
          <cell r="D644">
            <v>0</v>
          </cell>
          <cell r="E644">
            <v>0</v>
          </cell>
          <cell r="F644">
            <v>0</v>
          </cell>
          <cell r="G644">
            <v>0</v>
          </cell>
          <cell r="H644">
            <v>0</v>
          </cell>
          <cell r="I644">
            <v>0</v>
          </cell>
          <cell r="J644">
            <v>0</v>
          </cell>
          <cell r="K644">
            <v>9</v>
          </cell>
          <cell r="L644">
            <v>0</v>
          </cell>
          <cell r="M644">
            <v>0</v>
          </cell>
        </row>
        <row r="645">
          <cell r="C645">
            <v>0</v>
          </cell>
          <cell r="D645">
            <v>0</v>
          </cell>
          <cell r="E645">
            <v>0</v>
          </cell>
          <cell r="F645">
            <v>0</v>
          </cell>
          <cell r="G645">
            <v>0</v>
          </cell>
          <cell r="H645">
            <v>0</v>
          </cell>
          <cell r="I645">
            <v>0</v>
          </cell>
          <cell r="J645">
            <v>0</v>
          </cell>
          <cell r="K645">
            <v>9</v>
          </cell>
          <cell r="L645">
            <v>0</v>
          </cell>
          <cell r="M645">
            <v>0</v>
          </cell>
        </row>
        <row r="646">
          <cell r="C646">
            <v>0</v>
          </cell>
          <cell r="D646">
            <v>0</v>
          </cell>
          <cell r="E646">
            <v>0</v>
          </cell>
          <cell r="F646">
            <v>0</v>
          </cell>
          <cell r="G646">
            <v>0</v>
          </cell>
          <cell r="H646">
            <v>0</v>
          </cell>
          <cell r="I646">
            <v>0</v>
          </cell>
          <cell r="J646">
            <v>0</v>
          </cell>
          <cell r="K646">
            <v>9</v>
          </cell>
          <cell r="L646">
            <v>0</v>
          </cell>
          <cell r="M646">
            <v>0</v>
          </cell>
        </row>
        <row r="647">
          <cell r="C647">
            <v>0</v>
          </cell>
          <cell r="D647">
            <v>0</v>
          </cell>
          <cell r="E647">
            <v>0</v>
          </cell>
          <cell r="F647">
            <v>0</v>
          </cell>
          <cell r="G647">
            <v>0</v>
          </cell>
          <cell r="H647">
            <v>0</v>
          </cell>
          <cell r="I647">
            <v>0</v>
          </cell>
          <cell r="J647">
            <v>0</v>
          </cell>
          <cell r="K647">
            <v>9</v>
          </cell>
          <cell r="L647">
            <v>0</v>
          </cell>
          <cell r="M647">
            <v>0</v>
          </cell>
        </row>
        <row r="648">
          <cell r="C648">
            <v>0</v>
          </cell>
          <cell r="D648">
            <v>0</v>
          </cell>
          <cell r="E648">
            <v>0</v>
          </cell>
          <cell r="F648">
            <v>0</v>
          </cell>
          <cell r="G648">
            <v>0</v>
          </cell>
          <cell r="H648">
            <v>0</v>
          </cell>
          <cell r="I648">
            <v>0</v>
          </cell>
          <cell r="J648">
            <v>0</v>
          </cell>
          <cell r="K648">
            <v>9</v>
          </cell>
          <cell r="L648">
            <v>0</v>
          </cell>
          <cell r="M648">
            <v>0</v>
          </cell>
        </row>
        <row r="649">
          <cell r="C649">
            <v>0</v>
          </cell>
          <cell r="D649">
            <v>0</v>
          </cell>
          <cell r="E649">
            <v>0</v>
          </cell>
          <cell r="F649">
            <v>0</v>
          </cell>
          <cell r="G649">
            <v>0</v>
          </cell>
          <cell r="H649">
            <v>0</v>
          </cell>
          <cell r="I649">
            <v>0</v>
          </cell>
          <cell r="J649">
            <v>0</v>
          </cell>
          <cell r="K649">
            <v>9</v>
          </cell>
          <cell r="L649">
            <v>0</v>
          </cell>
          <cell r="M649">
            <v>0</v>
          </cell>
        </row>
        <row r="650">
          <cell r="C650">
            <v>0</v>
          </cell>
          <cell r="D650">
            <v>0</v>
          </cell>
          <cell r="E650">
            <v>0</v>
          </cell>
          <cell r="F650">
            <v>0</v>
          </cell>
          <cell r="G650">
            <v>0</v>
          </cell>
          <cell r="H650">
            <v>0</v>
          </cell>
          <cell r="I650">
            <v>0</v>
          </cell>
          <cell r="J650">
            <v>0</v>
          </cell>
          <cell r="K650">
            <v>9</v>
          </cell>
          <cell r="L650">
            <v>0</v>
          </cell>
          <cell r="M650">
            <v>0</v>
          </cell>
        </row>
        <row r="651">
          <cell r="C651">
            <v>0</v>
          </cell>
          <cell r="D651">
            <v>0</v>
          </cell>
          <cell r="E651">
            <v>0</v>
          </cell>
          <cell r="F651">
            <v>0</v>
          </cell>
          <cell r="G651">
            <v>0</v>
          </cell>
          <cell r="H651">
            <v>0</v>
          </cell>
          <cell r="I651">
            <v>0</v>
          </cell>
          <cell r="J651">
            <v>0</v>
          </cell>
          <cell r="K651">
            <v>9</v>
          </cell>
          <cell r="L651">
            <v>0</v>
          </cell>
          <cell r="M651">
            <v>0</v>
          </cell>
        </row>
        <row r="652">
          <cell r="C652">
            <v>0</v>
          </cell>
          <cell r="D652">
            <v>0</v>
          </cell>
          <cell r="E652">
            <v>0</v>
          </cell>
          <cell r="F652">
            <v>0</v>
          </cell>
          <cell r="G652">
            <v>0</v>
          </cell>
          <cell r="H652">
            <v>0</v>
          </cell>
          <cell r="I652">
            <v>0</v>
          </cell>
          <cell r="J652">
            <v>0</v>
          </cell>
          <cell r="K652">
            <v>9</v>
          </cell>
          <cell r="L652">
            <v>0</v>
          </cell>
          <cell r="M652">
            <v>0</v>
          </cell>
        </row>
        <row r="653">
          <cell r="C653">
            <v>0</v>
          </cell>
          <cell r="D653">
            <v>0</v>
          </cell>
          <cell r="E653">
            <v>0</v>
          </cell>
          <cell r="F653">
            <v>0</v>
          </cell>
          <cell r="G653">
            <v>0</v>
          </cell>
          <cell r="H653">
            <v>0</v>
          </cell>
          <cell r="I653">
            <v>0</v>
          </cell>
          <cell r="J653">
            <v>0</v>
          </cell>
          <cell r="K653">
            <v>9</v>
          </cell>
          <cell r="L653">
            <v>0</v>
          </cell>
          <cell r="M653">
            <v>0</v>
          </cell>
        </row>
        <row r="654">
          <cell r="C654">
            <v>0</v>
          </cell>
          <cell r="D654">
            <v>0</v>
          </cell>
          <cell r="E654">
            <v>0</v>
          </cell>
          <cell r="F654">
            <v>0</v>
          </cell>
          <cell r="G654">
            <v>0</v>
          </cell>
          <cell r="H654">
            <v>0</v>
          </cell>
          <cell r="I654">
            <v>0</v>
          </cell>
          <cell r="J654">
            <v>0</v>
          </cell>
          <cell r="K654">
            <v>9</v>
          </cell>
          <cell r="L654">
            <v>0</v>
          </cell>
          <cell r="M654">
            <v>0</v>
          </cell>
        </row>
        <row r="655">
          <cell r="C655">
            <v>0</v>
          </cell>
          <cell r="D655">
            <v>0</v>
          </cell>
          <cell r="E655">
            <v>0</v>
          </cell>
          <cell r="F655">
            <v>0</v>
          </cell>
          <cell r="G655">
            <v>0</v>
          </cell>
          <cell r="H655">
            <v>0</v>
          </cell>
          <cell r="I655">
            <v>0</v>
          </cell>
          <cell r="J655">
            <v>0</v>
          </cell>
          <cell r="K655">
            <v>9</v>
          </cell>
          <cell r="L655">
            <v>0</v>
          </cell>
          <cell r="M655">
            <v>0</v>
          </cell>
        </row>
        <row r="656">
          <cell r="C656">
            <v>0</v>
          </cell>
          <cell r="D656">
            <v>0</v>
          </cell>
          <cell r="E656">
            <v>0</v>
          </cell>
          <cell r="F656">
            <v>0</v>
          </cell>
          <cell r="G656">
            <v>0</v>
          </cell>
          <cell r="H656">
            <v>0</v>
          </cell>
          <cell r="I656">
            <v>0</v>
          </cell>
          <cell r="J656">
            <v>0</v>
          </cell>
          <cell r="K656">
            <v>9</v>
          </cell>
          <cell r="L656">
            <v>0</v>
          </cell>
          <cell r="M656">
            <v>0</v>
          </cell>
        </row>
        <row r="657">
          <cell r="C657">
            <v>0</v>
          </cell>
          <cell r="D657">
            <v>0</v>
          </cell>
          <cell r="E657">
            <v>0</v>
          </cell>
          <cell r="F657">
            <v>0</v>
          </cell>
          <cell r="G657">
            <v>0</v>
          </cell>
          <cell r="H657">
            <v>0</v>
          </cell>
          <cell r="I657">
            <v>0</v>
          </cell>
          <cell r="J657">
            <v>0</v>
          </cell>
          <cell r="K657">
            <v>9</v>
          </cell>
          <cell r="L657">
            <v>0</v>
          </cell>
          <cell r="M657">
            <v>0</v>
          </cell>
        </row>
        <row r="658">
          <cell r="C658">
            <v>0</v>
          </cell>
          <cell r="D658">
            <v>0</v>
          </cell>
          <cell r="E658">
            <v>0</v>
          </cell>
          <cell r="F658">
            <v>0</v>
          </cell>
          <cell r="G658">
            <v>0</v>
          </cell>
          <cell r="H658">
            <v>0</v>
          </cell>
          <cell r="I658">
            <v>0</v>
          </cell>
          <cell r="J658">
            <v>0</v>
          </cell>
          <cell r="K658">
            <v>9</v>
          </cell>
          <cell r="L658">
            <v>0</v>
          </cell>
          <cell r="M658">
            <v>0</v>
          </cell>
        </row>
        <row r="659">
          <cell r="C659">
            <v>0</v>
          </cell>
          <cell r="D659">
            <v>0</v>
          </cell>
          <cell r="E659">
            <v>0</v>
          </cell>
          <cell r="F659">
            <v>0</v>
          </cell>
          <cell r="G659">
            <v>0</v>
          </cell>
          <cell r="H659">
            <v>0</v>
          </cell>
          <cell r="I659">
            <v>0</v>
          </cell>
          <cell r="J659">
            <v>0</v>
          </cell>
          <cell r="K659">
            <v>9</v>
          </cell>
          <cell r="L659">
            <v>0</v>
          </cell>
          <cell r="M659">
            <v>0</v>
          </cell>
        </row>
        <row r="660">
          <cell r="C660">
            <v>0</v>
          </cell>
          <cell r="D660">
            <v>0</v>
          </cell>
          <cell r="E660">
            <v>0</v>
          </cell>
          <cell r="F660">
            <v>0</v>
          </cell>
          <cell r="G660">
            <v>0</v>
          </cell>
          <cell r="H660">
            <v>0</v>
          </cell>
          <cell r="I660">
            <v>0</v>
          </cell>
          <cell r="J660">
            <v>0</v>
          </cell>
          <cell r="K660">
            <v>9</v>
          </cell>
          <cell r="L660">
            <v>0</v>
          </cell>
          <cell r="M660">
            <v>0</v>
          </cell>
        </row>
        <row r="661">
          <cell r="C661">
            <v>0</v>
          </cell>
          <cell r="D661">
            <v>0</v>
          </cell>
          <cell r="E661">
            <v>0</v>
          </cell>
          <cell r="F661">
            <v>0</v>
          </cell>
          <cell r="G661">
            <v>0</v>
          </cell>
          <cell r="H661">
            <v>0</v>
          </cell>
          <cell r="I661">
            <v>0</v>
          </cell>
          <cell r="J661">
            <v>0</v>
          </cell>
          <cell r="K661">
            <v>9</v>
          </cell>
          <cell r="L661">
            <v>0</v>
          </cell>
          <cell r="M661">
            <v>0</v>
          </cell>
        </row>
        <row r="662">
          <cell r="C662">
            <v>0</v>
          </cell>
          <cell r="D662">
            <v>0</v>
          </cell>
          <cell r="E662">
            <v>0</v>
          </cell>
          <cell r="F662">
            <v>0</v>
          </cell>
          <cell r="G662">
            <v>0</v>
          </cell>
          <cell r="H662">
            <v>0</v>
          </cell>
          <cell r="I662">
            <v>0</v>
          </cell>
          <cell r="J662">
            <v>0</v>
          </cell>
          <cell r="K662">
            <v>9</v>
          </cell>
          <cell r="L662">
            <v>0</v>
          </cell>
          <cell r="M662">
            <v>0</v>
          </cell>
        </row>
        <row r="663">
          <cell r="C663">
            <v>0</v>
          </cell>
          <cell r="D663">
            <v>0</v>
          </cell>
          <cell r="E663">
            <v>0</v>
          </cell>
          <cell r="F663">
            <v>0</v>
          </cell>
          <cell r="G663">
            <v>0</v>
          </cell>
          <cell r="H663">
            <v>0</v>
          </cell>
          <cell r="I663">
            <v>0</v>
          </cell>
          <cell r="J663">
            <v>0</v>
          </cell>
          <cell r="K663">
            <v>9</v>
          </cell>
          <cell r="L663">
            <v>0</v>
          </cell>
          <cell r="M663">
            <v>0</v>
          </cell>
        </row>
        <row r="664">
          <cell r="C664">
            <v>0</v>
          </cell>
          <cell r="D664">
            <v>0</v>
          </cell>
          <cell r="E664">
            <v>0</v>
          </cell>
          <cell r="F664">
            <v>0</v>
          </cell>
          <cell r="G664">
            <v>0</v>
          </cell>
          <cell r="H664">
            <v>0</v>
          </cell>
          <cell r="I664">
            <v>0</v>
          </cell>
          <cell r="J664">
            <v>0</v>
          </cell>
          <cell r="K664">
            <v>9</v>
          </cell>
          <cell r="L664">
            <v>0</v>
          </cell>
          <cell r="M664">
            <v>0</v>
          </cell>
        </row>
        <row r="665">
          <cell r="C665">
            <v>0</v>
          </cell>
          <cell r="D665">
            <v>0</v>
          </cell>
          <cell r="E665">
            <v>0</v>
          </cell>
          <cell r="F665">
            <v>0</v>
          </cell>
          <cell r="G665">
            <v>0</v>
          </cell>
          <cell r="H665">
            <v>0</v>
          </cell>
          <cell r="I665">
            <v>0</v>
          </cell>
          <cell r="J665">
            <v>0</v>
          </cell>
          <cell r="K665">
            <v>9</v>
          </cell>
          <cell r="L665">
            <v>0</v>
          </cell>
          <cell r="M665">
            <v>0</v>
          </cell>
        </row>
        <row r="666">
          <cell r="C666">
            <v>0</v>
          </cell>
          <cell r="D666">
            <v>0</v>
          </cell>
          <cell r="E666">
            <v>0</v>
          </cell>
          <cell r="F666">
            <v>0</v>
          </cell>
          <cell r="G666">
            <v>0</v>
          </cell>
          <cell r="H666">
            <v>0</v>
          </cell>
          <cell r="I666">
            <v>0</v>
          </cell>
          <cell r="J666">
            <v>0</v>
          </cell>
          <cell r="K666">
            <v>9</v>
          </cell>
          <cell r="L666">
            <v>0</v>
          </cell>
          <cell r="M666">
            <v>0</v>
          </cell>
        </row>
        <row r="667">
          <cell r="C667">
            <v>0</v>
          </cell>
          <cell r="D667">
            <v>0</v>
          </cell>
          <cell r="E667">
            <v>0</v>
          </cell>
          <cell r="F667">
            <v>0</v>
          </cell>
          <cell r="G667">
            <v>0</v>
          </cell>
          <cell r="H667">
            <v>0</v>
          </cell>
          <cell r="I667">
            <v>0</v>
          </cell>
          <cell r="J667">
            <v>0</v>
          </cell>
          <cell r="K667">
            <v>9</v>
          </cell>
          <cell r="L667">
            <v>0</v>
          </cell>
          <cell r="M667">
            <v>0</v>
          </cell>
        </row>
        <row r="668">
          <cell r="C668">
            <v>0</v>
          </cell>
          <cell r="D668">
            <v>0</v>
          </cell>
          <cell r="E668">
            <v>0</v>
          </cell>
          <cell r="F668">
            <v>0</v>
          </cell>
          <cell r="G668">
            <v>0</v>
          </cell>
          <cell r="H668">
            <v>0</v>
          </cell>
          <cell r="I668">
            <v>0</v>
          </cell>
          <cell r="J668">
            <v>0</v>
          </cell>
          <cell r="K668">
            <v>9</v>
          </cell>
          <cell r="L668">
            <v>0</v>
          </cell>
          <cell r="M668">
            <v>0</v>
          </cell>
        </row>
        <row r="669">
          <cell r="C669">
            <v>0</v>
          </cell>
          <cell r="D669">
            <v>0</v>
          </cell>
          <cell r="E669">
            <v>0</v>
          </cell>
          <cell r="F669">
            <v>0</v>
          </cell>
          <cell r="G669">
            <v>0</v>
          </cell>
          <cell r="H669">
            <v>0</v>
          </cell>
          <cell r="I669">
            <v>0</v>
          </cell>
          <cell r="J669">
            <v>0</v>
          </cell>
          <cell r="K669">
            <v>9</v>
          </cell>
          <cell r="L669">
            <v>0</v>
          </cell>
          <cell r="M669">
            <v>0</v>
          </cell>
        </row>
        <row r="670">
          <cell r="C670">
            <v>0</v>
          </cell>
          <cell r="D670">
            <v>0</v>
          </cell>
          <cell r="E670">
            <v>0</v>
          </cell>
          <cell r="F670">
            <v>0</v>
          </cell>
          <cell r="G670">
            <v>0</v>
          </cell>
          <cell r="H670">
            <v>0</v>
          </cell>
          <cell r="I670">
            <v>0</v>
          </cell>
          <cell r="J670">
            <v>0</v>
          </cell>
          <cell r="K670">
            <v>9</v>
          </cell>
          <cell r="L670">
            <v>0</v>
          </cell>
          <cell r="M670">
            <v>0</v>
          </cell>
        </row>
        <row r="671">
          <cell r="C671">
            <v>0</v>
          </cell>
          <cell r="D671">
            <v>0</v>
          </cell>
          <cell r="E671">
            <v>0</v>
          </cell>
          <cell r="F671">
            <v>0</v>
          </cell>
          <cell r="G671">
            <v>0</v>
          </cell>
          <cell r="H671">
            <v>0</v>
          </cell>
          <cell r="I671">
            <v>0</v>
          </cell>
          <cell r="J671">
            <v>0</v>
          </cell>
          <cell r="K671">
            <v>9</v>
          </cell>
          <cell r="L671">
            <v>0</v>
          </cell>
          <cell r="M671">
            <v>0</v>
          </cell>
        </row>
        <row r="672">
          <cell r="C672">
            <v>0</v>
          </cell>
          <cell r="D672">
            <v>0</v>
          </cell>
          <cell r="E672">
            <v>0</v>
          </cell>
          <cell r="F672">
            <v>0</v>
          </cell>
          <cell r="G672">
            <v>0</v>
          </cell>
          <cell r="H672">
            <v>0</v>
          </cell>
          <cell r="I672">
            <v>0</v>
          </cell>
          <cell r="J672">
            <v>0</v>
          </cell>
          <cell r="K672">
            <v>9</v>
          </cell>
          <cell r="L672">
            <v>0</v>
          </cell>
          <cell r="M672">
            <v>0</v>
          </cell>
        </row>
        <row r="673">
          <cell r="C673">
            <v>0</v>
          </cell>
          <cell r="D673">
            <v>0</v>
          </cell>
          <cell r="E673">
            <v>0</v>
          </cell>
          <cell r="F673">
            <v>0</v>
          </cell>
          <cell r="G673">
            <v>0</v>
          </cell>
          <cell r="H673">
            <v>0</v>
          </cell>
          <cell r="I673">
            <v>0</v>
          </cell>
          <cell r="J673">
            <v>0</v>
          </cell>
          <cell r="K673">
            <v>9</v>
          </cell>
          <cell r="L673">
            <v>0</v>
          </cell>
          <cell r="M673">
            <v>0</v>
          </cell>
        </row>
        <row r="674">
          <cell r="C674">
            <v>0</v>
          </cell>
          <cell r="D674">
            <v>0</v>
          </cell>
          <cell r="E674">
            <v>0</v>
          </cell>
          <cell r="F674">
            <v>0</v>
          </cell>
          <cell r="G674">
            <v>0</v>
          </cell>
          <cell r="H674">
            <v>0</v>
          </cell>
          <cell r="I674">
            <v>0</v>
          </cell>
          <cell r="J674">
            <v>0</v>
          </cell>
          <cell r="K674">
            <v>9</v>
          </cell>
          <cell r="L674">
            <v>0</v>
          </cell>
          <cell r="M674">
            <v>0</v>
          </cell>
        </row>
        <row r="675">
          <cell r="C675">
            <v>0</v>
          </cell>
          <cell r="D675">
            <v>0</v>
          </cell>
          <cell r="E675">
            <v>0</v>
          </cell>
          <cell r="F675">
            <v>0</v>
          </cell>
          <cell r="G675">
            <v>0</v>
          </cell>
          <cell r="H675">
            <v>0</v>
          </cell>
          <cell r="I675">
            <v>0</v>
          </cell>
          <cell r="J675">
            <v>0</v>
          </cell>
          <cell r="K675">
            <v>9</v>
          </cell>
          <cell r="L675">
            <v>0</v>
          </cell>
          <cell r="M675">
            <v>0</v>
          </cell>
        </row>
        <row r="676">
          <cell r="C676">
            <v>0</v>
          </cell>
          <cell r="D676">
            <v>0</v>
          </cell>
          <cell r="E676">
            <v>0</v>
          </cell>
          <cell r="F676">
            <v>0</v>
          </cell>
          <cell r="G676">
            <v>0</v>
          </cell>
          <cell r="H676">
            <v>0</v>
          </cell>
          <cell r="I676">
            <v>0</v>
          </cell>
          <cell r="J676">
            <v>0</v>
          </cell>
          <cell r="K676">
            <v>9</v>
          </cell>
          <cell r="L676">
            <v>0</v>
          </cell>
          <cell r="M676">
            <v>0</v>
          </cell>
        </row>
        <row r="677">
          <cell r="C677">
            <v>0</v>
          </cell>
          <cell r="D677">
            <v>0</v>
          </cell>
          <cell r="E677">
            <v>0</v>
          </cell>
          <cell r="F677">
            <v>0</v>
          </cell>
          <cell r="G677">
            <v>0</v>
          </cell>
          <cell r="H677">
            <v>0</v>
          </cell>
          <cell r="I677">
            <v>0</v>
          </cell>
          <cell r="J677">
            <v>0</v>
          </cell>
          <cell r="K677">
            <v>9</v>
          </cell>
          <cell r="L677">
            <v>0</v>
          </cell>
          <cell r="M677">
            <v>0</v>
          </cell>
        </row>
        <row r="678">
          <cell r="C678">
            <v>0</v>
          </cell>
          <cell r="D678">
            <v>0</v>
          </cell>
          <cell r="E678">
            <v>0</v>
          </cell>
          <cell r="F678">
            <v>0</v>
          </cell>
          <cell r="G678">
            <v>0</v>
          </cell>
          <cell r="H678">
            <v>0</v>
          </cell>
          <cell r="I678">
            <v>0</v>
          </cell>
          <cell r="J678">
            <v>0</v>
          </cell>
          <cell r="K678">
            <v>9</v>
          </cell>
          <cell r="L678">
            <v>0</v>
          </cell>
          <cell r="M678">
            <v>0</v>
          </cell>
        </row>
        <row r="679">
          <cell r="C679">
            <v>0</v>
          </cell>
          <cell r="D679">
            <v>0</v>
          </cell>
          <cell r="E679">
            <v>0</v>
          </cell>
          <cell r="F679">
            <v>0</v>
          </cell>
          <cell r="G679">
            <v>0</v>
          </cell>
          <cell r="H679">
            <v>0</v>
          </cell>
          <cell r="I679">
            <v>0</v>
          </cell>
          <cell r="J679">
            <v>0</v>
          </cell>
          <cell r="K679">
            <v>9</v>
          </cell>
          <cell r="L679">
            <v>0</v>
          </cell>
          <cell r="M679">
            <v>0</v>
          </cell>
        </row>
        <row r="680">
          <cell r="C680">
            <v>0</v>
          </cell>
          <cell r="D680">
            <v>0</v>
          </cell>
          <cell r="E680">
            <v>0</v>
          </cell>
          <cell r="F680">
            <v>0</v>
          </cell>
          <cell r="G680">
            <v>0</v>
          </cell>
          <cell r="H680">
            <v>0</v>
          </cell>
          <cell r="I680">
            <v>0</v>
          </cell>
          <cell r="J680">
            <v>0</v>
          </cell>
          <cell r="K680">
            <v>9</v>
          </cell>
          <cell r="L680">
            <v>0</v>
          </cell>
          <cell r="M680">
            <v>0</v>
          </cell>
        </row>
        <row r="681">
          <cell r="C681">
            <v>0</v>
          </cell>
          <cell r="D681">
            <v>0</v>
          </cell>
          <cell r="E681">
            <v>0</v>
          </cell>
          <cell r="F681">
            <v>0</v>
          </cell>
          <cell r="G681">
            <v>0</v>
          </cell>
          <cell r="H681">
            <v>0</v>
          </cell>
          <cell r="I681">
            <v>0</v>
          </cell>
          <cell r="J681">
            <v>0</v>
          </cell>
          <cell r="K681">
            <v>9</v>
          </cell>
          <cell r="L681">
            <v>0</v>
          </cell>
          <cell r="M681">
            <v>0</v>
          </cell>
        </row>
        <row r="682">
          <cell r="C682">
            <v>0</v>
          </cell>
          <cell r="D682">
            <v>0</v>
          </cell>
          <cell r="E682">
            <v>0</v>
          </cell>
          <cell r="F682">
            <v>0</v>
          </cell>
          <cell r="G682">
            <v>0</v>
          </cell>
          <cell r="H682">
            <v>0</v>
          </cell>
          <cell r="I682">
            <v>0</v>
          </cell>
          <cell r="J682">
            <v>0</v>
          </cell>
          <cell r="K682">
            <v>9</v>
          </cell>
          <cell r="L682">
            <v>0</v>
          </cell>
          <cell r="M682">
            <v>0</v>
          </cell>
        </row>
        <row r="683">
          <cell r="C683">
            <v>0</v>
          </cell>
          <cell r="D683">
            <v>0</v>
          </cell>
          <cell r="E683">
            <v>0</v>
          </cell>
          <cell r="F683">
            <v>0</v>
          </cell>
          <cell r="G683">
            <v>0</v>
          </cell>
          <cell r="H683">
            <v>0</v>
          </cell>
          <cell r="I683">
            <v>0</v>
          </cell>
          <cell r="J683">
            <v>0</v>
          </cell>
          <cell r="K683">
            <v>9</v>
          </cell>
          <cell r="L683">
            <v>0</v>
          </cell>
          <cell r="M683">
            <v>0</v>
          </cell>
        </row>
        <row r="684">
          <cell r="C684">
            <v>0</v>
          </cell>
          <cell r="D684">
            <v>0</v>
          </cell>
          <cell r="E684">
            <v>0</v>
          </cell>
          <cell r="F684">
            <v>0</v>
          </cell>
          <cell r="G684">
            <v>0</v>
          </cell>
          <cell r="H684">
            <v>0</v>
          </cell>
          <cell r="I684">
            <v>0</v>
          </cell>
          <cell r="J684">
            <v>0</v>
          </cell>
          <cell r="K684">
            <v>9</v>
          </cell>
          <cell r="L684">
            <v>0</v>
          </cell>
          <cell r="M684">
            <v>0</v>
          </cell>
        </row>
        <row r="685">
          <cell r="C685">
            <v>0</v>
          </cell>
          <cell r="D685">
            <v>0</v>
          </cell>
          <cell r="E685">
            <v>0</v>
          </cell>
          <cell r="F685">
            <v>0</v>
          </cell>
          <cell r="G685">
            <v>0</v>
          </cell>
          <cell r="H685">
            <v>0</v>
          </cell>
          <cell r="I685">
            <v>0</v>
          </cell>
          <cell r="J685">
            <v>0</v>
          </cell>
          <cell r="K685">
            <v>9</v>
          </cell>
          <cell r="L685">
            <v>0</v>
          </cell>
          <cell r="M685">
            <v>0</v>
          </cell>
        </row>
        <row r="686">
          <cell r="C686">
            <v>0</v>
          </cell>
          <cell r="D686">
            <v>0</v>
          </cell>
          <cell r="E686">
            <v>0</v>
          </cell>
          <cell r="F686">
            <v>0</v>
          </cell>
          <cell r="G686">
            <v>0</v>
          </cell>
          <cell r="H686">
            <v>0</v>
          </cell>
          <cell r="I686">
            <v>0</v>
          </cell>
          <cell r="J686">
            <v>0</v>
          </cell>
          <cell r="K686">
            <v>9</v>
          </cell>
          <cell r="L686">
            <v>0</v>
          </cell>
          <cell r="M686">
            <v>0</v>
          </cell>
        </row>
        <row r="687">
          <cell r="C687">
            <v>0</v>
          </cell>
          <cell r="D687">
            <v>0</v>
          </cell>
          <cell r="E687">
            <v>0</v>
          </cell>
          <cell r="F687">
            <v>0</v>
          </cell>
          <cell r="G687">
            <v>0</v>
          </cell>
          <cell r="H687">
            <v>0</v>
          </cell>
          <cell r="I687">
            <v>0</v>
          </cell>
          <cell r="J687">
            <v>0</v>
          </cell>
          <cell r="K687">
            <v>9</v>
          </cell>
          <cell r="L687">
            <v>0</v>
          </cell>
          <cell r="M687">
            <v>0</v>
          </cell>
        </row>
        <row r="688">
          <cell r="C688">
            <v>0</v>
          </cell>
          <cell r="D688">
            <v>0</v>
          </cell>
          <cell r="E688">
            <v>0</v>
          </cell>
          <cell r="F688">
            <v>0</v>
          </cell>
          <cell r="G688">
            <v>0</v>
          </cell>
          <cell r="H688">
            <v>0</v>
          </cell>
          <cell r="I688">
            <v>0</v>
          </cell>
          <cell r="J688">
            <v>0</v>
          </cell>
          <cell r="K688">
            <v>9</v>
          </cell>
          <cell r="L688">
            <v>0</v>
          </cell>
          <cell r="M688">
            <v>0</v>
          </cell>
        </row>
        <row r="689">
          <cell r="C689">
            <v>0</v>
          </cell>
          <cell r="D689">
            <v>0</v>
          </cell>
          <cell r="E689">
            <v>0</v>
          </cell>
          <cell r="F689">
            <v>0</v>
          </cell>
          <cell r="G689">
            <v>0</v>
          </cell>
          <cell r="H689">
            <v>0</v>
          </cell>
          <cell r="I689">
            <v>0</v>
          </cell>
          <cell r="J689">
            <v>0</v>
          </cell>
          <cell r="K689">
            <v>9</v>
          </cell>
          <cell r="L689">
            <v>0</v>
          </cell>
          <cell r="M689">
            <v>0</v>
          </cell>
        </row>
        <row r="690">
          <cell r="C690">
            <v>0</v>
          </cell>
          <cell r="D690">
            <v>0</v>
          </cell>
          <cell r="E690">
            <v>0</v>
          </cell>
          <cell r="F690">
            <v>0</v>
          </cell>
          <cell r="G690">
            <v>0</v>
          </cell>
          <cell r="H690">
            <v>0</v>
          </cell>
          <cell r="I690">
            <v>0</v>
          </cell>
          <cell r="J690">
            <v>0</v>
          </cell>
          <cell r="K690">
            <v>9</v>
          </cell>
          <cell r="L690">
            <v>0</v>
          </cell>
          <cell r="M690">
            <v>0</v>
          </cell>
        </row>
        <row r="691">
          <cell r="C691">
            <v>0</v>
          </cell>
          <cell r="D691">
            <v>0</v>
          </cell>
          <cell r="E691">
            <v>0</v>
          </cell>
          <cell r="F691">
            <v>0</v>
          </cell>
          <cell r="G691">
            <v>0</v>
          </cell>
          <cell r="H691">
            <v>0</v>
          </cell>
          <cell r="I691">
            <v>0</v>
          </cell>
          <cell r="J691">
            <v>0</v>
          </cell>
          <cell r="K691">
            <v>9</v>
          </cell>
          <cell r="L691">
            <v>0</v>
          </cell>
          <cell r="M691">
            <v>0</v>
          </cell>
        </row>
        <row r="692">
          <cell r="C692">
            <v>0</v>
          </cell>
          <cell r="D692">
            <v>0</v>
          </cell>
          <cell r="E692">
            <v>0</v>
          </cell>
          <cell r="F692">
            <v>0</v>
          </cell>
          <cell r="G692">
            <v>0</v>
          </cell>
          <cell r="H692">
            <v>0</v>
          </cell>
          <cell r="I692">
            <v>0</v>
          </cell>
          <cell r="J692">
            <v>0</v>
          </cell>
          <cell r="K692">
            <v>9</v>
          </cell>
          <cell r="L692">
            <v>0</v>
          </cell>
          <cell r="M692">
            <v>0</v>
          </cell>
        </row>
        <row r="693">
          <cell r="C693">
            <v>0</v>
          </cell>
          <cell r="D693">
            <v>0</v>
          </cell>
          <cell r="E693">
            <v>0</v>
          </cell>
          <cell r="F693">
            <v>0</v>
          </cell>
          <cell r="G693">
            <v>0</v>
          </cell>
          <cell r="H693">
            <v>0</v>
          </cell>
          <cell r="I693">
            <v>0</v>
          </cell>
          <cell r="J693">
            <v>0</v>
          </cell>
          <cell r="K693">
            <v>9</v>
          </cell>
          <cell r="L693">
            <v>0</v>
          </cell>
          <cell r="M693">
            <v>0</v>
          </cell>
        </row>
        <row r="694">
          <cell r="C694">
            <v>0</v>
          </cell>
          <cell r="D694">
            <v>0</v>
          </cell>
          <cell r="E694">
            <v>0</v>
          </cell>
          <cell r="F694">
            <v>0</v>
          </cell>
          <cell r="G694">
            <v>0</v>
          </cell>
          <cell r="H694">
            <v>0</v>
          </cell>
          <cell r="I694">
            <v>0</v>
          </cell>
          <cell r="J694">
            <v>0</v>
          </cell>
          <cell r="K694">
            <v>9</v>
          </cell>
          <cell r="L694">
            <v>0</v>
          </cell>
          <cell r="M694">
            <v>0</v>
          </cell>
        </row>
        <row r="695">
          <cell r="C695">
            <v>0</v>
          </cell>
          <cell r="D695">
            <v>0</v>
          </cell>
          <cell r="E695">
            <v>0</v>
          </cell>
          <cell r="F695">
            <v>0</v>
          </cell>
          <cell r="G695">
            <v>0</v>
          </cell>
          <cell r="H695">
            <v>0</v>
          </cell>
          <cell r="I695">
            <v>0</v>
          </cell>
          <cell r="J695">
            <v>0</v>
          </cell>
          <cell r="K695">
            <v>9</v>
          </cell>
          <cell r="L695">
            <v>0</v>
          </cell>
          <cell r="M695">
            <v>0</v>
          </cell>
        </row>
        <row r="696">
          <cell r="C696">
            <v>0</v>
          </cell>
          <cell r="D696">
            <v>0</v>
          </cell>
          <cell r="E696">
            <v>0</v>
          </cell>
          <cell r="F696">
            <v>0</v>
          </cell>
          <cell r="G696">
            <v>0</v>
          </cell>
          <cell r="H696">
            <v>0</v>
          </cell>
          <cell r="I696">
            <v>0</v>
          </cell>
          <cell r="J696">
            <v>0</v>
          </cell>
          <cell r="K696">
            <v>9</v>
          </cell>
          <cell r="L696">
            <v>0</v>
          </cell>
          <cell r="M696">
            <v>0</v>
          </cell>
        </row>
        <row r="697">
          <cell r="C697">
            <v>0</v>
          </cell>
          <cell r="D697">
            <v>0</v>
          </cell>
          <cell r="E697">
            <v>0</v>
          </cell>
          <cell r="F697">
            <v>0</v>
          </cell>
          <cell r="G697">
            <v>0</v>
          </cell>
          <cell r="H697">
            <v>0</v>
          </cell>
          <cell r="I697">
            <v>0</v>
          </cell>
          <cell r="J697">
            <v>0</v>
          </cell>
          <cell r="K697">
            <v>9</v>
          </cell>
          <cell r="L697">
            <v>0</v>
          </cell>
          <cell r="M697">
            <v>0</v>
          </cell>
        </row>
        <row r="698">
          <cell r="C698">
            <v>0</v>
          </cell>
          <cell r="D698">
            <v>0</v>
          </cell>
          <cell r="E698">
            <v>0</v>
          </cell>
          <cell r="F698">
            <v>0</v>
          </cell>
          <cell r="G698">
            <v>0</v>
          </cell>
          <cell r="H698">
            <v>0</v>
          </cell>
          <cell r="I698">
            <v>0</v>
          </cell>
          <cell r="J698">
            <v>0</v>
          </cell>
          <cell r="K698">
            <v>9</v>
          </cell>
          <cell r="L698">
            <v>0</v>
          </cell>
          <cell r="M698">
            <v>0</v>
          </cell>
        </row>
        <row r="699">
          <cell r="C699">
            <v>0</v>
          </cell>
          <cell r="D699">
            <v>0</v>
          </cell>
          <cell r="E699">
            <v>0</v>
          </cell>
          <cell r="F699">
            <v>0</v>
          </cell>
          <cell r="G699">
            <v>0</v>
          </cell>
          <cell r="H699">
            <v>0</v>
          </cell>
          <cell r="I699">
            <v>0</v>
          </cell>
          <cell r="J699">
            <v>0</v>
          </cell>
          <cell r="K699">
            <v>9</v>
          </cell>
          <cell r="L699">
            <v>0</v>
          </cell>
          <cell r="M699">
            <v>0</v>
          </cell>
        </row>
        <row r="700">
          <cell r="C700">
            <v>0</v>
          </cell>
          <cell r="D700">
            <v>0</v>
          </cell>
          <cell r="E700">
            <v>0</v>
          </cell>
          <cell r="F700">
            <v>0</v>
          </cell>
          <cell r="G700">
            <v>0</v>
          </cell>
          <cell r="H700">
            <v>0</v>
          </cell>
          <cell r="I700">
            <v>0</v>
          </cell>
          <cell r="J700">
            <v>0</v>
          </cell>
          <cell r="K700">
            <v>9</v>
          </cell>
          <cell r="L700">
            <v>0</v>
          </cell>
          <cell r="M700">
            <v>0</v>
          </cell>
        </row>
        <row r="701">
          <cell r="C701">
            <v>0</v>
          </cell>
          <cell r="D701">
            <v>0</v>
          </cell>
          <cell r="E701">
            <v>0</v>
          </cell>
          <cell r="F701">
            <v>0</v>
          </cell>
          <cell r="G701">
            <v>0</v>
          </cell>
          <cell r="H701">
            <v>0</v>
          </cell>
          <cell r="I701">
            <v>0</v>
          </cell>
          <cell r="J701">
            <v>0</v>
          </cell>
          <cell r="K701">
            <v>9</v>
          </cell>
          <cell r="L701">
            <v>0</v>
          </cell>
          <cell r="M701">
            <v>0</v>
          </cell>
        </row>
        <row r="702">
          <cell r="C702">
            <v>0</v>
          </cell>
          <cell r="D702">
            <v>0</v>
          </cell>
          <cell r="E702">
            <v>0</v>
          </cell>
          <cell r="F702">
            <v>0</v>
          </cell>
          <cell r="G702">
            <v>0</v>
          </cell>
          <cell r="H702">
            <v>0</v>
          </cell>
          <cell r="I702">
            <v>0</v>
          </cell>
          <cell r="J702">
            <v>0</v>
          </cell>
          <cell r="K702">
            <v>9</v>
          </cell>
          <cell r="L702">
            <v>0</v>
          </cell>
          <cell r="M702">
            <v>0</v>
          </cell>
        </row>
        <row r="703">
          <cell r="C703">
            <v>0</v>
          </cell>
          <cell r="D703">
            <v>0</v>
          </cell>
          <cell r="E703">
            <v>0</v>
          </cell>
          <cell r="F703">
            <v>0</v>
          </cell>
          <cell r="G703">
            <v>0</v>
          </cell>
          <cell r="H703">
            <v>0</v>
          </cell>
          <cell r="I703">
            <v>0</v>
          </cell>
          <cell r="J703">
            <v>0</v>
          </cell>
          <cell r="K703">
            <v>9</v>
          </cell>
          <cell r="L703">
            <v>0</v>
          </cell>
          <cell r="M703">
            <v>0</v>
          </cell>
        </row>
        <row r="704">
          <cell r="C704">
            <v>0</v>
          </cell>
          <cell r="D704">
            <v>0</v>
          </cell>
          <cell r="E704">
            <v>0</v>
          </cell>
          <cell r="F704">
            <v>0</v>
          </cell>
          <cell r="G704">
            <v>0</v>
          </cell>
          <cell r="H704">
            <v>0</v>
          </cell>
          <cell r="I704">
            <v>0</v>
          </cell>
          <cell r="J704">
            <v>0</v>
          </cell>
          <cell r="K704">
            <v>9</v>
          </cell>
          <cell r="L704">
            <v>0</v>
          </cell>
          <cell r="M704">
            <v>0</v>
          </cell>
        </row>
        <row r="705">
          <cell r="C705">
            <v>0</v>
          </cell>
          <cell r="D705">
            <v>0</v>
          </cell>
          <cell r="E705">
            <v>0</v>
          </cell>
          <cell r="F705">
            <v>0</v>
          </cell>
          <cell r="G705">
            <v>0</v>
          </cell>
          <cell r="H705">
            <v>0</v>
          </cell>
          <cell r="I705">
            <v>0</v>
          </cell>
          <cell r="J705">
            <v>0</v>
          </cell>
          <cell r="K705">
            <v>9</v>
          </cell>
          <cell r="L705">
            <v>0</v>
          </cell>
          <cell r="M705">
            <v>0</v>
          </cell>
        </row>
        <row r="706">
          <cell r="C706">
            <v>0</v>
          </cell>
          <cell r="D706">
            <v>0</v>
          </cell>
          <cell r="E706">
            <v>0</v>
          </cell>
          <cell r="F706">
            <v>0</v>
          </cell>
          <cell r="G706">
            <v>0</v>
          </cell>
          <cell r="H706">
            <v>0</v>
          </cell>
          <cell r="I706">
            <v>0</v>
          </cell>
          <cell r="J706">
            <v>0</v>
          </cell>
          <cell r="K706">
            <v>9</v>
          </cell>
          <cell r="L706">
            <v>0</v>
          </cell>
          <cell r="M706">
            <v>0</v>
          </cell>
        </row>
        <row r="707">
          <cell r="C707">
            <v>0</v>
          </cell>
          <cell r="D707">
            <v>0</v>
          </cell>
          <cell r="E707">
            <v>0</v>
          </cell>
          <cell r="F707">
            <v>0</v>
          </cell>
          <cell r="G707">
            <v>0</v>
          </cell>
          <cell r="H707">
            <v>0</v>
          </cell>
          <cell r="I707">
            <v>0</v>
          </cell>
          <cell r="J707">
            <v>0</v>
          </cell>
          <cell r="K707">
            <v>9</v>
          </cell>
          <cell r="L707">
            <v>0</v>
          </cell>
          <cell r="M707">
            <v>0</v>
          </cell>
        </row>
        <row r="708">
          <cell r="C708">
            <v>0</v>
          </cell>
          <cell r="D708">
            <v>0</v>
          </cell>
          <cell r="E708">
            <v>0</v>
          </cell>
          <cell r="F708">
            <v>0</v>
          </cell>
          <cell r="G708">
            <v>0</v>
          </cell>
          <cell r="H708">
            <v>0</v>
          </cell>
          <cell r="I708">
            <v>0</v>
          </cell>
          <cell r="J708">
            <v>0</v>
          </cell>
          <cell r="K708">
            <v>9</v>
          </cell>
          <cell r="L708">
            <v>0</v>
          </cell>
          <cell r="M708">
            <v>0</v>
          </cell>
        </row>
        <row r="709">
          <cell r="C709">
            <v>0</v>
          </cell>
          <cell r="D709">
            <v>0</v>
          </cell>
          <cell r="E709">
            <v>0</v>
          </cell>
          <cell r="F709">
            <v>0</v>
          </cell>
          <cell r="G709">
            <v>0</v>
          </cell>
          <cell r="H709">
            <v>0</v>
          </cell>
          <cell r="I709">
            <v>0</v>
          </cell>
          <cell r="J709">
            <v>0</v>
          </cell>
          <cell r="K709">
            <v>9</v>
          </cell>
          <cell r="L709">
            <v>0</v>
          </cell>
          <cell r="M709">
            <v>0</v>
          </cell>
        </row>
        <row r="710">
          <cell r="C710">
            <v>0</v>
          </cell>
          <cell r="D710">
            <v>0</v>
          </cell>
          <cell r="E710">
            <v>0</v>
          </cell>
          <cell r="F710">
            <v>0</v>
          </cell>
          <cell r="G710">
            <v>0</v>
          </cell>
          <cell r="H710">
            <v>0</v>
          </cell>
          <cell r="I710">
            <v>0</v>
          </cell>
          <cell r="J710">
            <v>0</v>
          </cell>
          <cell r="K710">
            <v>9</v>
          </cell>
          <cell r="L710">
            <v>0</v>
          </cell>
          <cell r="M710">
            <v>0</v>
          </cell>
        </row>
        <row r="711">
          <cell r="C711">
            <v>0</v>
          </cell>
          <cell r="D711">
            <v>0</v>
          </cell>
          <cell r="E711">
            <v>0</v>
          </cell>
          <cell r="F711">
            <v>0</v>
          </cell>
          <cell r="G711">
            <v>0</v>
          </cell>
          <cell r="H711">
            <v>0</v>
          </cell>
          <cell r="I711">
            <v>0</v>
          </cell>
          <cell r="J711">
            <v>0</v>
          </cell>
          <cell r="K711">
            <v>9</v>
          </cell>
          <cell r="L711">
            <v>0</v>
          </cell>
          <cell r="M711">
            <v>0</v>
          </cell>
        </row>
        <row r="712">
          <cell r="C712">
            <v>0</v>
          </cell>
          <cell r="D712">
            <v>0</v>
          </cell>
          <cell r="E712">
            <v>0</v>
          </cell>
          <cell r="F712">
            <v>0</v>
          </cell>
          <cell r="G712">
            <v>0</v>
          </cell>
          <cell r="H712">
            <v>0</v>
          </cell>
          <cell r="I712">
            <v>0</v>
          </cell>
          <cell r="J712">
            <v>0</v>
          </cell>
          <cell r="K712">
            <v>9</v>
          </cell>
          <cell r="L712">
            <v>0</v>
          </cell>
          <cell r="M712">
            <v>0</v>
          </cell>
        </row>
        <row r="713">
          <cell r="C713">
            <v>0</v>
          </cell>
          <cell r="D713">
            <v>0</v>
          </cell>
          <cell r="E713">
            <v>0</v>
          </cell>
          <cell r="F713">
            <v>0</v>
          </cell>
          <cell r="G713">
            <v>0</v>
          </cell>
          <cell r="H713">
            <v>0</v>
          </cell>
          <cell r="I713">
            <v>0</v>
          </cell>
          <cell r="J713">
            <v>0</v>
          </cell>
          <cell r="K713">
            <v>9</v>
          </cell>
          <cell r="L713">
            <v>0</v>
          </cell>
          <cell r="M713">
            <v>0</v>
          </cell>
        </row>
        <row r="714">
          <cell r="C714">
            <v>0</v>
          </cell>
          <cell r="D714">
            <v>0</v>
          </cell>
          <cell r="E714">
            <v>0</v>
          </cell>
          <cell r="F714">
            <v>0</v>
          </cell>
          <cell r="G714">
            <v>0</v>
          </cell>
          <cell r="H714">
            <v>0</v>
          </cell>
          <cell r="I714">
            <v>0</v>
          </cell>
          <cell r="J714">
            <v>0</v>
          </cell>
          <cell r="K714">
            <v>9</v>
          </cell>
          <cell r="L714">
            <v>0</v>
          </cell>
          <cell r="M714">
            <v>0</v>
          </cell>
        </row>
        <row r="715">
          <cell r="C715">
            <v>0</v>
          </cell>
          <cell r="D715">
            <v>0</v>
          </cell>
          <cell r="E715">
            <v>0</v>
          </cell>
          <cell r="F715">
            <v>0</v>
          </cell>
          <cell r="G715">
            <v>0</v>
          </cell>
          <cell r="H715">
            <v>0</v>
          </cell>
          <cell r="I715">
            <v>0</v>
          </cell>
          <cell r="J715">
            <v>0</v>
          </cell>
          <cell r="K715">
            <v>9</v>
          </cell>
          <cell r="L715">
            <v>0</v>
          </cell>
          <cell r="M715">
            <v>0</v>
          </cell>
        </row>
        <row r="716">
          <cell r="C716">
            <v>0</v>
          </cell>
          <cell r="D716">
            <v>0</v>
          </cell>
          <cell r="E716">
            <v>0</v>
          </cell>
          <cell r="F716">
            <v>0</v>
          </cell>
          <cell r="G716">
            <v>0</v>
          </cell>
          <cell r="H716">
            <v>0</v>
          </cell>
          <cell r="I716">
            <v>0</v>
          </cell>
          <cell r="J716">
            <v>0</v>
          </cell>
          <cell r="K716">
            <v>9</v>
          </cell>
          <cell r="L716">
            <v>0</v>
          </cell>
          <cell r="M716">
            <v>0</v>
          </cell>
        </row>
        <row r="717">
          <cell r="C717">
            <v>0</v>
          </cell>
          <cell r="D717">
            <v>0</v>
          </cell>
          <cell r="E717">
            <v>0</v>
          </cell>
          <cell r="F717">
            <v>0</v>
          </cell>
          <cell r="G717">
            <v>0</v>
          </cell>
          <cell r="H717">
            <v>0</v>
          </cell>
          <cell r="I717">
            <v>0</v>
          </cell>
          <cell r="J717">
            <v>0</v>
          </cell>
          <cell r="K717">
            <v>9</v>
          </cell>
          <cell r="L717">
            <v>0</v>
          </cell>
          <cell r="M717">
            <v>0</v>
          </cell>
        </row>
        <row r="718">
          <cell r="C718">
            <v>0</v>
          </cell>
          <cell r="D718">
            <v>0</v>
          </cell>
          <cell r="E718">
            <v>0</v>
          </cell>
          <cell r="F718">
            <v>0</v>
          </cell>
          <cell r="G718">
            <v>0</v>
          </cell>
          <cell r="H718">
            <v>0</v>
          </cell>
          <cell r="I718">
            <v>0</v>
          </cell>
          <cell r="J718">
            <v>0</v>
          </cell>
          <cell r="K718">
            <v>9</v>
          </cell>
          <cell r="L718">
            <v>0</v>
          </cell>
          <cell r="M718">
            <v>0</v>
          </cell>
        </row>
        <row r="719">
          <cell r="C719">
            <v>0</v>
          </cell>
          <cell r="D719">
            <v>0</v>
          </cell>
          <cell r="E719">
            <v>0</v>
          </cell>
          <cell r="F719">
            <v>0</v>
          </cell>
          <cell r="G719">
            <v>0</v>
          </cell>
          <cell r="H719">
            <v>0</v>
          </cell>
          <cell r="I719">
            <v>0</v>
          </cell>
          <cell r="J719">
            <v>0</v>
          </cell>
          <cell r="K719">
            <v>9</v>
          </cell>
          <cell r="L719">
            <v>0</v>
          </cell>
          <cell r="M719">
            <v>0</v>
          </cell>
        </row>
        <row r="720">
          <cell r="C720">
            <v>0</v>
          </cell>
          <cell r="D720">
            <v>0</v>
          </cell>
          <cell r="E720">
            <v>0</v>
          </cell>
          <cell r="F720">
            <v>0</v>
          </cell>
          <cell r="G720">
            <v>0</v>
          </cell>
          <cell r="H720">
            <v>0</v>
          </cell>
          <cell r="I720">
            <v>0</v>
          </cell>
          <cell r="J720">
            <v>0</v>
          </cell>
          <cell r="K720">
            <v>9</v>
          </cell>
          <cell r="L720">
            <v>0</v>
          </cell>
          <cell r="M720">
            <v>0</v>
          </cell>
        </row>
        <row r="721">
          <cell r="C721">
            <v>0</v>
          </cell>
          <cell r="D721">
            <v>0</v>
          </cell>
          <cell r="E721">
            <v>0</v>
          </cell>
          <cell r="F721">
            <v>0</v>
          </cell>
          <cell r="G721">
            <v>0</v>
          </cell>
          <cell r="H721">
            <v>0</v>
          </cell>
          <cell r="I721">
            <v>0</v>
          </cell>
          <cell r="J721">
            <v>0</v>
          </cell>
          <cell r="K721">
            <v>9</v>
          </cell>
          <cell r="L721">
            <v>0</v>
          </cell>
          <cell r="M721">
            <v>0</v>
          </cell>
        </row>
        <row r="722">
          <cell r="C722">
            <v>0</v>
          </cell>
          <cell r="D722">
            <v>0</v>
          </cell>
          <cell r="E722">
            <v>0</v>
          </cell>
          <cell r="F722">
            <v>0</v>
          </cell>
          <cell r="G722">
            <v>0</v>
          </cell>
          <cell r="H722">
            <v>0</v>
          </cell>
          <cell r="I722">
            <v>0</v>
          </cell>
          <cell r="J722">
            <v>0</v>
          </cell>
          <cell r="K722">
            <v>9</v>
          </cell>
          <cell r="L722">
            <v>0</v>
          </cell>
          <cell r="M722">
            <v>0</v>
          </cell>
        </row>
        <row r="723">
          <cell r="C723">
            <v>0</v>
          </cell>
          <cell r="D723">
            <v>0</v>
          </cell>
          <cell r="E723">
            <v>0</v>
          </cell>
          <cell r="F723">
            <v>0</v>
          </cell>
          <cell r="G723">
            <v>0</v>
          </cell>
          <cell r="H723">
            <v>0</v>
          </cell>
          <cell r="I723">
            <v>0</v>
          </cell>
          <cell r="J723">
            <v>0</v>
          </cell>
          <cell r="K723">
            <v>9</v>
          </cell>
          <cell r="L723">
            <v>0</v>
          </cell>
          <cell r="M723">
            <v>0</v>
          </cell>
        </row>
        <row r="724">
          <cell r="C724">
            <v>0</v>
          </cell>
          <cell r="D724">
            <v>0</v>
          </cell>
          <cell r="E724">
            <v>0</v>
          </cell>
          <cell r="F724">
            <v>0</v>
          </cell>
          <cell r="G724">
            <v>0</v>
          </cell>
          <cell r="H724">
            <v>0</v>
          </cell>
          <cell r="I724">
            <v>0</v>
          </cell>
          <cell r="J724">
            <v>0</v>
          </cell>
          <cell r="K724">
            <v>9</v>
          </cell>
          <cell r="L724">
            <v>0</v>
          </cell>
          <cell r="M724">
            <v>0</v>
          </cell>
        </row>
        <row r="725">
          <cell r="C725">
            <v>0</v>
          </cell>
          <cell r="D725">
            <v>0</v>
          </cell>
          <cell r="E725">
            <v>0</v>
          </cell>
          <cell r="F725">
            <v>0</v>
          </cell>
          <cell r="G725">
            <v>0</v>
          </cell>
          <cell r="H725">
            <v>0</v>
          </cell>
          <cell r="I725">
            <v>0</v>
          </cell>
          <cell r="J725">
            <v>0</v>
          </cell>
          <cell r="K725">
            <v>9</v>
          </cell>
          <cell r="L725">
            <v>0</v>
          </cell>
          <cell r="M725">
            <v>0</v>
          </cell>
        </row>
        <row r="726">
          <cell r="C726">
            <v>0</v>
          </cell>
          <cell r="D726">
            <v>0</v>
          </cell>
          <cell r="E726">
            <v>0</v>
          </cell>
          <cell r="F726">
            <v>0</v>
          </cell>
          <cell r="G726">
            <v>0</v>
          </cell>
          <cell r="H726">
            <v>0</v>
          </cell>
          <cell r="I726">
            <v>0</v>
          </cell>
          <cell r="J726">
            <v>0</v>
          </cell>
          <cell r="K726">
            <v>9</v>
          </cell>
          <cell r="L726">
            <v>0</v>
          </cell>
          <cell r="M726">
            <v>0</v>
          </cell>
        </row>
        <row r="727">
          <cell r="C727">
            <v>0</v>
          </cell>
          <cell r="D727">
            <v>0</v>
          </cell>
          <cell r="E727">
            <v>0</v>
          </cell>
          <cell r="F727">
            <v>0</v>
          </cell>
          <cell r="G727">
            <v>0</v>
          </cell>
          <cell r="H727">
            <v>0</v>
          </cell>
          <cell r="I727">
            <v>0</v>
          </cell>
          <cell r="J727">
            <v>0</v>
          </cell>
          <cell r="K727">
            <v>9</v>
          </cell>
          <cell r="L727">
            <v>0</v>
          </cell>
          <cell r="M727">
            <v>0</v>
          </cell>
        </row>
        <row r="728">
          <cell r="C728">
            <v>0</v>
          </cell>
          <cell r="D728">
            <v>0</v>
          </cell>
          <cell r="E728">
            <v>0</v>
          </cell>
          <cell r="F728">
            <v>0</v>
          </cell>
          <cell r="G728">
            <v>0</v>
          </cell>
          <cell r="H728">
            <v>0</v>
          </cell>
          <cell r="I728">
            <v>0</v>
          </cell>
          <cell r="J728">
            <v>0</v>
          </cell>
          <cell r="K728">
            <v>9</v>
          </cell>
          <cell r="L728">
            <v>0</v>
          </cell>
          <cell r="M728">
            <v>0</v>
          </cell>
        </row>
        <row r="729">
          <cell r="C729">
            <v>0</v>
          </cell>
          <cell r="D729">
            <v>0</v>
          </cell>
          <cell r="E729">
            <v>0</v>
          </cell>
          <cell r="F729">
            <v>0</v>
          </cell>
          <cell r="G729">
            <v>0</v>
          </cell>
          <cell r="H729">
            <v>0</v>
          </cell>
          <cell r="I729">
            <v>0</v>
          </cell>
          <cell r="J729">
            <v>0</v>
          </cell>
          <cell r="K729">
            <v>9</v>
          </cell>
          <cell r="L729">
            <v>0</v>
          </cell>
          <cell r="M729">
            <v>0</v>
          </cell>
        </row>
        <row r="730">
          <cell r="C730">
            <v>0</v>
          </cell>
          <cell r="D730">
            <v>0</v>
          </cell>
          <cell r="E730">
            <v>0</v>
          </cell>
          <cell r="F730">
            <v>0</v>
          </cell>
          <cell r="G730">
            <v>0</v>
          </cell>
          <cell r="H730">
            <v>0</v>
          </cell>
          <cell r="I730">
            <v>0</v>
          </cell>
          <cell r="J730">
            <v>0</v>
          </cell>
          <cell r="K730">
            <v>9</v>
          </cell>
          <cell r="L730">
            <v>0</v>
          </cell>
          <cell r="M730">
            <v>0</v>
          </cell>
        </row>
        <row r="731">
          <cell r="C731">
            <v>0</v>
          </cell>
          <cell r="D731">
            <v>0</v>
          </cell>
          <cell r="E731">
            <v>0</v>
          </cell>
          <cell r="F731">
            <v>0</v>
          </cell>
          <cell r="G731">
            <v>0</v>
          </cell>
          <cell r="H731">
            <v>0</v>
          </cell>
          <cell r="I731">
            <v>0</v>
          </cell>
          <cell r="J731">
            <v>0</v>
          </cell>
          <cell r="K731">
            <v>9</v>
          </cell>
          <cell r="L731">
            <v>0</v>
          </cell>
          <cell r="M731">
            <v>0</v>
          </cell>
        </row>
        <row r="732">
          <cell r="C732">
            <v>0</v>
          </cell>
          <cell r="D732">
            <v>0</v>
          </cell>
          <cell r="E732">
            <v>0</v>
          </cell>
          <cell r="F732">
            <v>0</v>
          </cell>
          <cell r="G732">
            <v>0</v>
          </cell>
          <cell r="H732">
            <v>0</v>
          </cell>
          <cell r="I732">
            <v>0</v>
          </cell>
          <cell r="J732">
            <v>0</v>
          </cell>
          <cell r="K732">
            <v>9</v>
          </cell>
          <cell r="L732">
            <v>0</v>
          </cell>
          <cell r="M732">
            <v>0</v>
          </cell>
        </row>
        <row r="733">
          <cell r="C733">
            <v>0</v>
          </cell>
          <cell r="D733">
            <v>0</v>
          </cell>
          <cell r="E733">
            <v>0</v>
          </cell>
          <cell r="F733">
            <v>0</v>
          </cell>
          <cell r="G733">
            <v>0</v>
          </cell>
          <cell r="H733">
            <v>0</v>
          </cell>
          <cell r="I733">
            <v>0</v>
          </cell>
          <cell r="J733">
            <v>0</v>
          </cell>
          <cell r="K733">
            <v>9</v>
          </cell>
          <cell r="L733">
            <v>0</v>
          </cell>
          <cell r="M733">
            <v>0</v>
          </cell>
        </row>
        <row r="734">
          <cell r="C734">
            <v>0</v>
          </cell>
          <cell r="D734">
            <v>0</v>
          </cell>
          <cell r="E734">
            <v>0</v>
          </cell>
          <cell r="F734">
            <v>0</v>
          </cell>
          <cell r="G734">
            <v>0</v>
          </cell>
          <cell r="H734">
            <v>0</v>
          </cell>
          <cell r="I734">
            <v>0</v>
          </cell>
          <cell r="J734">
            <v>0</v>
          </cell>
          <cell r="K734">
            <v>9</v>
          </cell>
          <cell r="L734">
            <v>0</v>
          </cell>
          <cell r="M734">
            <v>0</v>
          </cell>
        </row>
        <row r="735">
          <cell r="C735">
            <v>0</v>
          </cell>
          <cell r="D735">
            <v>0</v>
          </cell>
          <cell r="E735">
            <v>0</v>
          </cell>
          <cell r="F735">
            <v>0</v>
          </cell>
          <cell r="G735">
            <v>0</v>
          </cell>
          <cell r="H735">
            <v>0</v>
          </cell>
          <cell r="I735">
            <v>0</v>
          </cell>
          <cell r="J735">
            <v>0</v>
          </cell>
          <cell r="K735">
            <v>9</v>
          </cell>
          <cell r="L735">
            <v>0</v>
          </cell>
          <cell r="M735">
            <v>0</v>
          </cell>
        </row>
        <row r="736">
          <cell r="C736">
            <v>0</v>
          </cell>
          <cell r="D736">
            <v>0</v>
          </cell>
          <cell r="E736">
            <v>0</v>
          </cell>
          <cell r="F736">
            <v>0</v>
          </cell>
          <cell r="G736">
            <v>0</v>
          </cell>
          <cell r="H736">
            <v>0</v>
          </cell>
          <cell r="I736">
            <v>0</v>
          </cell>
          <cell r="J736">
            <v>0</v>
          </cell>
          <cell r="K736">
            <v>9</v>
          </cell>
          <cell r="L736">
            <v>0</v>
          </cell>
          <cell r="M736">
            <v>0</v>
          </cell>
        </row>
        <row r="737">
          <cell r="C737">
            <v>0</v>
          </cell>
          <cell r="D737">
            <v>0</v>
          </cell>
          <cell r="E737">
            <v>0</v>
          </cell>
          <cell r="F737">
            <v>0</v>
          </cell>
          <cell r="G737">
            <v>0</v>
          </cell>
          <cell r="H737">
            <v>0</v>
          </cell>
          <cell r="I737">
            <v>0</v>
          </cell>
          <cell r="J737">
            <v>0</v>
          </cell>
          <cell r="K737">
            <v>9</v>
          </cell>
          <cell r="L737">
            <v>0</v>
          </cell>
          <cell r="M737">
            <v>0</v>
          </cell>
        </row>
        <row r="738">
          <cell r="C738">
            <v>0</v>
          </cell>
          <cell r="D738">
            <v>0</v>
          </cell>
          <cell r="E738">
            <v>0</v>
          </cell>
          <cell r="F738">
            <v>0</v>
          </cell>
          <cell r="G738">
            <v>0</v>
          </cell>
          <cell r="H738">
            <v>0</v>
          </cell>
          <cell r="I738">
            <v>0</v>
          </cell>
          <cell r="J738">
            <v>0</v>
          </cell>
          <cell r="K738">
            <v>9</v>
          </cell>
          <cell r="L738">
            <v>0</v>
          </cell>
          <cell r="M738">
            <v>0</v>
          </cell>
        </row>
        <row r="739">
          <cell r="C739">
            <v>0</v>
          </cell>
          <cell r="D739">
            <v>0</v>
          </cell>
          <cell r="E739">
            <v>0</v>
          </cell>
          <cell r="F739">
            <v>0</v>
          </cell>
          <cell r="G739">
            <v>0</v>
          </cell>
          <cell r="H739">
            <v>0</v>
          </cell>
          <cell r="I739">
            <v>0</v>
          </cell>
          <cell r="J739">
            <v>0</v>
          </cell>
          <cell r="K739">
            <v>9</v>
          </cell>
          <cell r="L739">
            <v>0</v>
          </cell>
          <cell r="M739">
            <v>0</v>
          </cell>
        </row>
        <row r="740">
          <cell r="C740">
            <v>0</v>
          </cell>
          <cell r="D740">
            <v>0</v>
          </cell>
          <cell r="E740">
            <v>0</v>
          </cell>
          <cell r="F740">
            <v>0</v>
          </cell>
          <cell r="G740">
            <v>0</v>
          </cell>
          <cell r="H740">
            <v>0</v>
          </cell>
          <cell r="I740">
            <v>0</v>
          </cell>
          <cell r="J740">
            <v>0</v>
          </cell>
          <cell r="K740">
            <v>9</v>
          </cell>
          <cell r="L740">
            <v>0</v>
          </cell>
          <cell r="M740">
            <v>0</v>
          </cell>
        </row>
        <row r="741">
          <cell r="C741">
            <v>0</v>
          </cell>
          <cell r="D741">
            <v>0</v>
          </cell>
          <cell r="E741">
            <v>0</v>
          </cell>
          <cell r="F741">
            <v>0</v>
          </cell>
          <cell r="G741">
            <v>0</v>
          </cell>
          <cell r="H741">
            <v>0</v>
          </cell>
          <cell r="I741">
            <v>0</v>
          </cell>
          <cell r="J741">
            <v>0</v>
          </cell>
          <cell r="K741">
            <v>9</v>
          </cell>
          <cell r="L741">
            <v>0</v>
          </cell>
          <cell r="M741">
            <v>0</v>
          </cell>
        </row>
        <row r="742">
          <cell r="C742">
            <v>0</v>
          </cell>
          <cell r="D742">
            <v>0</v>
          </cell>
          <cell r="E742">
            <v>0</v>
          </cell>
          <cell r="F742">
            <v>0</v>
          </cell>
          <cell r="G742">
            <v>0</v>
          </cell>
          <cell r="H742">
            <v>0</v>
          </cell>
          <cell r="I742">
            <v>0</v>
          </cell>
          <cell r="J742">
            <v>0</v>
          </cell>
          <cell r="K742">
            <v>9</v>
          </cell>
          <cell r="L742">
            <v>0</v>
          </cell>
          <cell r="M742">
            <v>0</v>
          </cell>
        </row>
        <row r="743">
          <cell r="C743">
            <v>0</v>
          </cell>
          <cell r="D743">
            <v>0</v>
          </cell>
          <cell r="E743">
            <v>0</v>
          </cell>
          <cell r="F743">
            <v>0</v>
          </cell>
          <cell r="G743">
            <v>0</v>
          </cell>
          <cell r="H743">
            <v>0</v>
          </cell>
          <cell r="I743">
            <v>0</v>
          </cell>
          <cell r="J743">
            <v>0</v>
          </cell>
          <cell r="K743">
            <v>9</v>
          </cell>
          <cell r="L743">
            <v>0</v>
          </cell>
          <cell r="M743">
            <v>0</v>
          </cell>
        </row>
        <row r="744">
          <cell r="C744">
            <v>0</v>
          </cell>
          <cell r="D744">
            <v>0</v>
          </cell>
          <cell r="E744">
            <v>0</v>
          </cell>
          <cell r="F744">
            <v>0</v>
          </cell>
          <cell r="G744">
            <v>0</v>
          </cell>
          <cell r="H744">
            <v>0</v>
          </cell>
          <cell r="I744">
            <v>0</v>
          </cell>
          <cell r="J744">
            <v>0</v>
          </cell>
          <cell r="K744">
            <v>9</v>
          </cell>
          <cell r="L744">
            <v>0</v>
          </cell>
          <cell r="M744">
            <v>0</v>
          </cell>
        </row>
        <row r="745">
          <cell r="C745">
            <v>0</v>
          </cell>
          <cell r="D745">
            <v>0</v>
          </cell>
          <cell r="E745">
            <v>0</v>
          </cell>
          <cell r="F745">
            <v>0</v>
          </cell>
          <cell r="G745">
            <v>0</v>
          </cell>
          <cell r="H745">
            <v>0</v>
          </cell>
          <cell r="I745">
            <v>0</v>
          </cell>
          <cell r="J745">
            <v>0</v>
          </cell>
          <cell r="K745">
            <v>9</v>
          </cell>
          <cell r="L745">
            <v>0</v>
          </cell>
          <cell r="M745">
            <v>0</v>
          </cell>
        </row>
        <row r="746">
          <cell r="C746">
            <v>0</v>
          </cell>
          <cell r="D746">
            <v>0</v>
          </cell>
          <cell r="E746">
            <v>0</v>
          </cell>
          <cell r="F746">
            <v>0</v>
          </cell>
          <cell r="G746">
            <v>0</v>
          </cell>
          <cell r="H746">
            <v>0</v>
          </cell>
          <cell r="I746">
            <v>0</v>
          </cell>
          <cell r="J746">
            <v>0</v>
          </cell>
          <cell r="K746">
            <v>9</v>
          </cell>
          <cell r="L746">
            <v>0</v>
          </cell>
          <cell r="M746">
            <v>0</v>
          </cell>
        </row>
        <row r="747">
          <cell r="C747">
            <v>0</v>
          </cell>
          <cell r="D747">
            <v>0</v>
          </cell>
          <cell r="E747">
            <v>0</v>
          </cell>
          <cell r="F747">
            <v>0</v>
          </cell>
          <cell r="G747">
            <v>0</v>
          </cell>
          <cell r="H747">
            <v>0</v>
          </cell>
          <cell r="I747">
            <v>0</v>
          </cell>
          <cell r="J747">
            <v>0</v>
          </cell>
          <cell r="K747">
            <v>9</v>
          </cell>
          <cell r="L747">
            <v>0</v>
          </cell>
          <cell r="M747">
            <v>0</v>
          </cell>
        </row>
        <row r="748">
          <cell r="C748">
            <v>0</v>
          </cell>
          <cell r="D748">
            <v>0</v>
          </cell>
          <cell r="E748">
            <v>0</v>
          </cell>
          <cell r="F748">
            <v>0</v>
          </cell>
          <cell r="G748">
            <v>0</v>
          </cell>
          <cell r="H748">
            <v>0</v>
          </cell>
          <cell r="I748">
            <v>0</v>
          </cell>
          <cell r="J748">
            <v>0</v>
          </cell>
          <cell r="K748">
            <v>9</v>
          </cell>
          <cell r="L748">
            <v>0</v>
          </cell>
          <cell r="M748">
            <v>0</v>
          </cell>
        </row>
        <row r="749">
          <cell r="C749">
            <v>0</v>
          </cell>
          <cell r="D749">
            <v>0</v>
          </cell>
          <cell r="E749">
            <v>0</v>
          </cell>
          <cell r="F749">
            <v>0</v>
          </cell>
          <cell r="G749">
            <v>0</v>
          </cell>
          <cell r="H749">
            <v>0</v>
          </cell>
          <cell r="I749">
            <v>0</v>
          </cell>
          <cell r="J749">
            <v>0</v>
          </cell>
          <cell r="K749">
            <v>9</v>
          </cell>
          <cell r="L749">
            <v>0</v>
          </cell>
          <cell r="M749">
            <v>0</v>
          </cell>
        </row>
        <row r="750">
          <cell r="C750">
            <v>0</v>
          </cell>
          <cell r="D750">
            <v>0</v>
          </cell>
          <cell r="E750">
            <v>0</v>
          </cell>
          <cell r="F750">
            <v>0</v>
          </cell>
          <cell r="G750">
            <v>0</v>
          </cell>
          <cell r="H750">
            <v>0</v>
          </cell>
          <cell r="I750">
            <v>0</v>
          </cell>
          <cell r="J750">
            <v>0</v>
          </cell>
          <cell r="K750">
            <v>9</v>
          </cell>
          <cell r="L750">
            <v>0</v>
          </cell>
          <cell r="M750">
            <v>0</v>
          </cell>
        </row>
        <row r="751">
          <cell r="C751">
            <v>0</v>
          </cell>
          <cell r="D751">
            <v>0</v>
          </cell>
          <cell r="E751">
            <v>0</v>
          </cell>
          <cell r="F751">
            <v>0</v>
          </cell>
          <cell r="G751">
            <v>0</v>
          </cell>
          <cell r="H751">
            <v>0</v>
          </cell>
          <cell r="I751">
            <v>0</v>
          </cell>
          <cell r="J751">
            <v>0</v>
          </cell>
          <cell r="K751">
            <v>9</v>
          </cell>
          <cell r="L751">
            <v>0</v>
          </cell>
          <cell r="M751">
            <v>0</v>
          </cell>
        </row>
        <row r="752">
          <cell r="C752">
            <v>0</v>
          </cell>
          <cell r="D752">
            <v>0</v>
          </cell>
          <cell r="E752">
            <v>0</v>
          </cell>
          <cell r="F752">
            <v>0</v>
          </cell>
          <cell r="G752">
            <v>0</v>
          </cell>
          <cell r="H752">
            <v>0</v>
          </cell>
          <cell r="I752">
            <v>0</v>
          </cell>
          <cell r="J752">
            <v>0</v>
          </cell>
          <cell r="K752">
            <v>9</v>
          </cell>
          <cell r="L752">
            <v>0</v>
          </cell>
          <cell r="M752">
            <v>0</v>
          </cell>
        </row>
        <row r="753">
          <cell r="C753">
            <v>0</v>
          </cell>
          <cell r="D753">
            <v>0</v>
          </cell>
          <cell r="E753">
            <v>0</v>
          </cell>
          <cell r="F753">
            <v>0</v>
          </cell>
          <cell r="G753">
            <v>0</v>
          </cell>
          <cell r="H753">
            <v>0</v>
          </cell>
          <cell r="I753">
            <v>0</v>
          </cell>
          <cell r="J753">
            <v>0</v>
          </cell>
          <cell r="K753">
            <v>9</v>
          </cell>
          <cell r="L753">
            <v>0</v>
          </cell>
          <cell r="M753">
            <v>0</v>
          </cell>
        </row>
        <row r="754">
          <cell r="C754">
            <v>0</v>
          </cell>
          <cell r="D754">
            <v>0</v>
          </cell>
          <cell r="E754">
            <v>0</v>
          </cell>
          <cell r="F754">
            <v>0</v>
          </cell>
          <cell r="G754">
            <v>0</v>
          </cell>
          <cell r="H754">
            <v>0</v>
          </cell>
          <cell r="I754">
            <v>0</v>
          </cell>
          <cell r="J754">
            <v>0</v>
          </cell>
          <cell r="K754">
            <v>9</v>
          </cell>
          <cell r="L754">
            <v>0</v>
          </cell>
          <cell r="M754">
            <v>0</v>
          </cell>
        </row>
        <row r="755">
          <cell r="C755">
            <v>0</v>
          </cell>
          <cell r="D755">
            <v>0</v>
          </cell>
          <cell r="E755">
            <v>0</v>
          </cell>
          <cell r="F755">
            <v>0</v>
          </cell>
          <cell r="G755">
            <v>0</v>
          </cell>
          <cell r="H755">
            <v>0</v>
          </cell>
          <cell r="I755">
            <v>0</v>
          </cell>
          <cell r="J755">
            <v>0</v>
          </cell>
          <cell r="K755">
            <v>9</v>
          </cell>
          <cell r="L755">
            <v>0</v>
          </cell>
          <cell r="M755">
            <v>0</v>
          </cell>
        </row>
        <row r="756">
          <cell r="C756">
            <v>0</v>
          </cell>
          <cell r="D756">
            <v>0</v>
          </cell>
          <cell r="E756">
            <v>0</v>
          </cell>
          <cell r="F756">
            <v>0</v>
          </cell>
          <cell r="G756">
            <v>0</v>
          </cell>
          <cell r="H756">
            <v>0</v>
          </cell>
          <cell r="I756">
            <v>0</v>
          </cell>
          <cell r="J756">
            <v>0</v>
          </cell>
          <cell r="K756">
            <v>9</v>
          </cell>
          <cell r="L756">
            <v>0</v>
          </cell>
          <cell r="M756">
            <v>0</v>
          </cell>
        </row>
        <row r="757">
          <cell r="C757">
            <v>0</v>
          </cell>
          <cell r="D757">
            <v>0</v>
          </cell>
          <cell r="E757">
            <v>0</v>
          </cell>
          <cell r="F757">
            <v>0</v>
          </cell>
          <cell r="G757">
            <v>0</v>
          </cell>
          <cell r="H757">
            <v>0</v>
          </cell>
          <cell r="I757">
            <v>0</v>
          </cell>
          <cell r="J757">
            <v>0</v>
          </cell>
          <cell r="K757">
            <v>9</v>
          </cell>
          <cell r="L757">
            <v>0</v>
          </cell>
          <cell r="M757">
            <v>0</v>
          </cell>
        </row>
        <row r="758">
          <cell r="C758">
            <v>0</v>
          </cell>
          <cell r="D758">
            <v>0</v>
          </cell>
          <cell r="E758">
            <v>0</v>
          </cell>
          <cell r="F758">
            <v>0</v>
          </cell>
          <cell r="G758">
            <v>0</v>
          </cell>
          <cell r="H758">
            <v>0</v>
          </cell>
          <cell r="I758">
            <v>0</v>
          </cell>
          <cell r="J758">
            <v>0</v>
          </cell>
          <cell r="K758">
            <v>9</v>
          </cell>
          <cell r="L758">
            <v>0</v>
          </cell>
          <cell r="M758">
            <v>0</v>
          </cell>
        </row>
        <row r="759">
          <cell r="C759">
            <v>0</v>
          </cell>
          <cell r="D759">
            <v>0</v>
          </cell>
          <cell r="E759">
            <v>0</v>
          </cell>
          <cell r="F759">
            <v>0</v>
          </cell>
          <cell r="G759">
            <v>0</v>
          </cell>
          <cell r="H759">
            <v>0</v>
          </cell>
          <cell r="I759">
            <v>0</v>
          </cell>
          <cell r="J759">
            <v>0</v>
          </cell>
          <cell r="K759">
            <v>9</v>
          </cell>
          <cell r="L759">
            <v>0</v>
          </cell>
          <cell r="M759">
            <v>0</v>
          </cell>
        </row>
        <row r="760">
          <cell r="C760">
            <v>0</v>
          </cell>
          <cell r="D760">
            <v>0</v>
          </cell>
          <cell r="E760">
            <v>0</v>
          </cell>
          <cell r="F760">
            <v>0</v>
          </cell>
          <cell r="G760">
            <v>0</v>
          </cell>
          <cell r="H760">
            <v>0</v>
          </cell>
          <cell r="I760">
            <v>0</v>
          </cell>
          <cell r="J760">
            <v>0</v>
          </cell>
          <cell r="K760">
            <v>9</v>
          </cell>
          <cell r="L760">
            <v>0</v>
          </cell>
          <cell r="M760">
            <v>0</v>
          </cell>
        </row>
        <row r="761">
          <cell r="C761">
            <v>0</v>
          </cell>
          <cell r="D761">
            <v>0</v>
          </cell>
          <cell r="E761">
            <v>0</v>
          </cell>
          <cell r="F761">
            <v>0</v>
          </cell>
          <cell r="G761">
            <v>0</v>
          </cell>
          <cell r="H761">
            <v>0</v>
          </cell>
          <cell r="I761">
            <v>0</v>
          </cell>
          <cell r="J761">
            <v>0</v>
          </cell>
          <cell r="K761">
            <v>9</v>
          </cell>
          <cell r="L761">
            <v>0</v>
          </cell>
          <cell r="M761">
            <v>0</v>
          </cell>
        </row>
        <row r="762">
          <cell r="C762">
            <v>0</v>
          </cell>
          <cell r="D762">
            <v>0</v>
          </cell>
          <cell r="E762">
            <v>0</v>
          </cell>
          <cell r="F762">
            <v>0</v>
          </cell>
          <cell r="G762">
            <v>0</v>
          </cell>
          <cell r="H762">
            <v>0</v>
          </cell>
          <cell r="I762">
            <v>0</v>
          </cell>
          <cell r="J762">
            <v>0</v>
          </cell>
          <cell r="K762">
            <v>9</v>
          </cell>
          <cell r="L762">
            <v>0</v>
          </cell>
          <cell r="M762">
            <v>0</v>
          </cell>
        </row>
        <row r="763">
          <cell r="C763">
            <v>0</v>
          </cell>
          <cell r="D763">
            <v>0</v>
          </cell>
          <cell r="E763">
            <v>0</v>
          </cell>
          <cell r="F763">
            <v>0</v>
          </cell>
          <cell r="G763">
            <v>0</v>
          </cell>
          <cell r="H763">
            <v>0</v>
          </cell>
          <cell r="I763">
            <v>0</v>
          </cell>
          <cell r="J763">
            <v>0</v>
          </cell>
          <cell r="K763">
            <v>9</v>
          </cell>
          <cell r="L763">
            <v>0</v>
          </cell>
          <cell r="M763">
            <v>0</v>
          </cell>
        </row>
        <row r="764">
          <cell r="C764">
            <v>0</v>
          </cell>
          <cell r="D764">
            <v>0</v>
          </cell>
          <cell r="E764">
            <v>0</v>
          </cell>
          <cell r="F764">
            <v>0</v>
          </cell>
          <cell r="G764">
            <v>0</v>
          </cell>
          <cell r="H764">
            <v>0</v>
          </cell>
          <cell r="I764">
            <v>0</v>
          </cell>
          <cell r="J764">
            <v>0</v>
          </cell>
          <cell r="K764">
            <v>9</v>
          </cell>
          <cell r="L764">
            <v>0</v>
          </cell>
          <cell r="M764">
            <v>0</v>
          </cell>
        </row>
        <row r="765">
          <cell r="C765">
            <v>0</v>
          </cell>
          <cell r="D765">
            <v>0</v>
          </cell>
          <cell r="E765">
            <v>0</v>
          </cell>
          <cell r="F765">
            <v>0</v>
          </cell>
          <cell r="G765">
            <v>0</v>
          </cell>
          <cell r="H765">
            <v>0</v>
          </cell>
          <cell r="I765">
            <v>0</v>
          </cell>
          <cell r="J765">
            <v>0</v>
          </cell>
          <cell r="K765">
            <v>9</v>
          </cell>
          <cell r="L765">
            <v>0</v>
          </cell>
          <cell r="M765">
            <v>0</v>
          </cell>
        </row>
        <row r="766">
          <cell r="C766">
            <v>0</v>
          </cell>
          <cell r="D766">
            <v>0</v>
          </cell>
          <cell r="E766">
            <v>0</v>
          </cell>
          <cell r="F766">
            <v>0</v>
          </cell>
          <cell r="G766">
            <v>0</v>
          </cell>
          <cell r="H766">
            <v>0</v>
          </cell>
          <cell r="I766">
            <v>0</v>
          </cell>
          <cell r="J766">
            <v>0</v>
          </cell>
          <cell r="K766">
            <v>9</v>
          </cell>
          <cell r="L766">
            <v>0</v>
          </cell>
          <cell r="M766">
            <v>0</v>
          </cell>
        </row>
        <row r="767">
          <cell r="C767">
            <v>0</v>
          </cell>
          <cell r="D767">
            <v>0</v>
          </cell>
          <cell r="E767">
            <v>0</v>
          </cell>
          <cell r="F767">
            <v>0</v>
          </cell>
          <cell r="G767">
            <v>0</v>
          </cell>
          <cell r="H767">
            <v>0</v>
          </cell>
          <cell r="I767">
            <v>0</v>
          </cell>
          <cell r="J767">
            <v>0</v>
          </cell>
          <cell r="K767">
            <v>9</v>
          </cell>
          <cell r="L767">
            <v>0</v>
          </cell>
          <cell r="M767">
            <v>0</v>
          </cell>
        </row>
        <row r="768">
          <cell r="C768">
            <v>0</v>
          </cell>
          <cell r="D768">
            <v>0</v>
          </cell>
          <cell r="E768">
            <v>0</v>
          </cell>
          <cell r="F768">
            <v>0</v>
          </cell>
          <cell r="G768">
            <v>0</v>
          </cell>
          <cell r="H768">
            <v>0</v>
          </cell>
          <cell r="I768">
            <v>0</v>
          </cell>
          <cell r="J768">
            <v>0</v>
          </cell>
          <cell r="K768">
            <v>9</v>
          </cell>
          <cell r="L768">
            <v>0</v>
          </cell>
          <cell r="M768">
            <v>0</v>
          </cell>
        </row>
        <row r="769">
          <cell r="C769">
            <v>0</v>
          </cell>
          <cell r="D769">
            <v>0</v>
          </cell>
          <cell r="E769">
            <v>0</v>
          </cell>
          <cell r="F769">
            <v>0</v>
          </cell>
          <cell r="G769">
            <v>0</v>
          </cell>
          <cell r="H769">
            <v>0</v>
          </cell>
          <cell r="I769">
            <v>0</v>
          </cell>
          <cell r="J769">
            <v>0</v>
          </cell>
          <cell r="K769">
            <v>9</v>
          </cell>
          <cell r="L769">
            <v>0</v>
          </cell>
          <cell r="M769">
            <v>0</v>
          </cell>
        </row>
        <row r="770">
          <cell r="C770">
            <v>0</v>
          </cell>
          <cell r="D770">
            <v>0</v>
          </cell>
          <cell r="E770">
            <v>0</v>
          </cell>
          <cell r="F770">
            <v>0</v>
          </cell>
          <cell r="G770">
            <v>0</v>
          </cell>
          <cell r="H770">
            <v>0</v>
          </cell>
          <cell r="I770">
            <v>0</v>
          </cell>
          <cell r="J770">
            <v>0</v>
          </cell>
          <cell r="K770">
            <v>9</v>
          </cell>
          <cell r="L770">
            <v>0</v>
          </cell>
          <cell r="M770">
            <v>0</v>
          </cell>
        </row>
        <row r="771">
          <cell r="C771">
            <v>0</v>
          </cell>
          <cell r="D771">
            <v>0</v>
          </cell>
          <cell r="E771">
            <v>0</v>
          </cell>
          <cell r="F771">
            <v>0</v>
          </cell>
          <cell r="G771">
            <v>0</v>
          </cell>
          <cell r="H771">
            <v>0</v>
          </cell>
          <cell r="I771">
            <v>0</v>
          </cell>
          <cell r="J771">
            <v>0</v>
          </cell>
          <cell r="K771">
            <v>9</v>
          </cell>
          <cell r="L771">
            <v>0</v>
          </cell>
          <cell r="M771">
            <v>0</v>
          </cell>
        </row>
        <row r="772">
          <cell r="C772">
            <v>0</v>
          </cell>
          <cell r="D772">
            <v>0</v>
          </cell>
          <cell r="E772">
            <v>0</v>
          </cell>
          <cell r="F772">
            <v>0</v>
          </cell>
          <cell r="G772">
            <v>0</v>
          </cell>
          <cell r="H772">
            <v>0</v>
          </cell>
          <cell r="I772">
            <v>0</v>
          </cell>
          <cell r="J772">
            <v>0</v>
          </cell>
          <cell r="K772">
            <v>9</v>
          </cell>
          <cell r="L772">
            <v>0</v>
          </cell>
          <cell r="M772">
            <v>0</v>
          </cell>
        </row>
        <row r="773">
          <cell r="C773">
            <v>0</v>
          </cell>
          <cell r="D773">
            <v>0</v>
          </cell>
          <cell r="E773">
            <v>0</v>
          </cell>
          <cell r="F773">
            <v>0</v>
          </cell>
          <cell r="G773">
            <v>0</v>
          </cell>
          <cell r="H773">
            <v>0</v>
          </cell>
          <cell r="I773">
            <v>0</v>
          </cell>
          <cell r="J773">
            <v>0</v>
          </cell>
          <cell r="K773">
            <v>9</v>
          </cell>
          <cell r="L773">
            <v>0</v>
          </cell>
          <cell r="M773">
            <v>0</v>
          </cell>
        </row>
        <row r="774">
          <cell r="C774">
            <v>0</v>
          </cell>
          <cell r="D774">
            <v>0</v>
          </cell>
          <cell r="E774">
            <v>0</v>
          </cell>
          <cell r="F774">
            <v>0</v>
          </cell>
          <cell r="G774">
            <v>0</v>
          </cell>
          <cell r="H774">
            <v>0</v>
          </cell>
          <cell r="I774">
            <v>0</v>
          </cell>
          <cell r="J774">
            <v>0</v>
          </cell>
          <cell r="K774">
            <v>9</v>
          </cell>
          <cell r="L774">
            <v>0</v>
          </cell>
          <cell r="M774">
            <v>0</v>
          </cell>
        </row>
        <row r="775">
          <cell r="C775">
            <v>0</v>
          </cell>
          <cell r="D775">
            <v>0</v>
          </cell>
          <cell r="E775">
            <v>0</v>
          </cell>
          <cell r="F775">
            <v>0</v>
          </cell>
          <cell r="G775">
            <v>0</v>
          </cell>
          <cell r="H775">
            <v>0</v>
          </cell>
          <cell r="I775">
            <v>0</v>
          </cell>
          <cell r="J775">
            <v>0</v>
          </cell>
          <cell r="K775">
            <v>9</v>
          </cell>
          <cell r="L775">
            <v>0</v>
          </cell>
          <cell r="M775">
            <v>0</v>
          </cell>
        </row>
        <row r="776">
          <cell r="C776">
            <v>0</v>
          </cell>
          <cell r="D776">
            <v>0</v>
          </cell>
          <cell r="E776">
            <v>0</v>
          </cell>
          <cell r="F776">
            <v>0</v>
          </cell>
          <cell r="G776">
            <v>0</v>
          </cell>
          <cell r="H776">
            <v>0</v>
          </cell>
          <cell r="I776">
            <v>0</v>
          </cell>
          <cell r="J776">
            <v>0</v>
          </cell>
          <cell r="K776">
            <v>9</v>
          </cell>
          <cell r="L776">
            <v>0</v>
          </cell>
          <cell r="M776">
            <v>0</v>
          </cell>
        </row>
        <row r="777">
          <cell r="C777">
            <v>0</v>
          </cell>
          <cell r="D777">
            <v>0</v>
          </cell>
          <cell r="E777">
            <v>0</v>
          </cell>
          <cell r="F777">
            <v>0</v>
          </cell>
          <cell r="G777">
            <v>0</v>
          </cell>
          <cell r="H777">
            <v>0</v>
          </cell>
          <cell r="I777">
            <v>0</v>
          </cell>
          <cell r="J777">
            <v>0</v>
          </cell>
          <cell r="K777">
            <v>9</v>
          </cell>
          <cell r="L777">
            <v>0</v>
          </cell>
          <cell r="M777">
            <v>0</v>
          </cell>
        </row>
        <row r="778">
          <cell r="C778">
            <v>0</v>
          </cell>
          <cell r="D778">
            <v>0</v>
          </cell>
          <cell r="E778">
            <v>0</v>
          </cell>
          <cell r="F778">
            <v>0</v>
          </cell>
          <cell r="G778">
            <v>0</v>
          </cell>
          <cell r="H778">
            <v>0</v>
          </cell>
          <cell r="I778">
            <v>0</v>
          </cell>
          <cell r="J778">
            <v>0</v>
          </cell>
          <cell r="K778">
            <v>9</v>
          </cell>
          <cell r="L778">
            <v>0</v>
          </cell>
          <cell r="M778">
            <v>0</v>
          </cell>
        </row>
        <row r="779">
          <cell r="C779">
            <v>0</v>
          </cell>
          <cell r="D779">
            <v>0</v>
          </cell>
          <cell r="E779">
            <v>0</v>
          </cell>
          <cell r="F779">
            <v>0</v>
          </cell>
          <cell r="G779">
            <v>0</v>
          </cell>
          <cell r="H779">
            <v>0</v>
          </cell>
          <cell r="I779">
            <v>0</v>
          </cell>
          <cell r="J779">
            <v>0</v>
          </cell>
          <cell r="K779">
            <v>9</v>
          </cell>
          <cell r="L779">
            <v>0</v>
          </cell>
          <cell r="M779">
            <v>0</v>
          </cell>
        </row>
        <row r="780">
          <cell r="C780">
            <v>0</v>
          </cell>
          <cell r="D780">
            <v>0</v>
          </cell>
          <cell r="E780">
            <v>0</v>
          </cell>
          <cell r="F780">
            <v>0</v>
          </cell>
          <cell r="G780">
            <v>0</v>
          </cell>
          <cell r="H780">
            <v>0</v>
          </cell>
          <cell r="I780">
            <v>0</v>
          </cell>
          <cell r="J780">
            <v>0</v>
          </cell>
          <cell r="K780">
            <v>9</v>
          </cell>
          <cell r="L780">
            <v>0</v>
          </cell>
          <cell r="M780">
            <v>0</v>
          </cell>
        </row>
        <row r="781">
          <cell r="C781">
            <v>0</v>
          </cell>
          <cell r="D781">
            <v>0</v>
          </cell>
          <cell r="E781">
            <v>0</v>
          </cell>
          <cell r="F781">
            <v>0</v>
          </cell>
          <cell r="G781">
            <v>0</v>
          </cell>
          <cell r="H781">
            <v>0</v>
          </cell>
          <cell r="I781">
            <v>0</v>
          </cell>
          <cell r="J781">
            <v>0</v>
          </cell>
          <cell r="K781">
            <v>9</v>
          </cell>
          <cell r="L781">
            <v>0</v>
          </cell>
          <cell r="M781">
            <v>0</v>
          </cell>
        </row>
        <row r="782">
          <cell r="C782">
            <v>0</v>
          </cell>
          <cell r="D782">
            <v>0</v>
          </cell>
          <cell r="E782">
            <v>0</v>
          </cell>
          <cell r="F782">
            <v>0</v>
          </cell>
          <cell r="G782">
            <v>0</v>
          </cell>
          <cell r="H782">
            <v>0</v>
          </cell>
          <cell r="I782">
            <v>0</v>
          </cell>
          <cell r="J782">
            <v>0</v>
          </cell>
          <cell r="K782">
            <v>9</v>
          </cell>
          <cell r="L782">
            <v>0</v>
          </cell>
          <cell r="M782">
            <v>0</v>
          </cell>
        </row>
        <row r="783">
          <cell r="C783">
            <v>0</v>
          </cell>
          <cell r="D783">
            <v>0</v>
          </cell>
          <cell r="E783">
            <v>0</v>
          </cell>
          <cell r="F783">
            <v>0</v>
          </cell>
          <cell r="G783">
            <v>0</v>
          </cell>
          <cell r="H783">
            <v>0</v>
          </cell>
          <cell r="I783">
            <v>0</v>
          </cell>
          <cell r="J783">
            <v>0</v>
          </cell>
          <cell r="K783">
            <v>9</v>
          </cell>
          <cell r="L783">
            <v>0</v>
          </cell>
          <cell r="M783">
            <v>0</v>
          </cell>
        </row>
        <row r="784">
          <cell r="C784">
            <v>0</v>
          </cell>
          <cell r="D784">
            <v>0</v>
          </cell>
          <cell r="E784">
            <v>0</v>
          </cell>
          <cell r="F784">
            <v>0</v>
          </cell>
          <cell r="G784">
            <v>0</v>
          </cell>
          <cell r="H784">
            <v>0</v>
          </cell>
          <cell r="I784">
            <v>0</v>
          </cell>
          <cell r="J784">
            <v>0</v>
          </cell>
          <cell r="K784">
            <v>9</v>
          </cell>
          <cell r="L784">
            <v>0</v>
          </cell>
          <cell r="M784">
            <v>0</v>
          </cell>
        </row>
        <row r="785">
          <cell r="C785">
            <v>0</v>
          </cell>
          <cell r="D785">
            <v>0</v>
          </cell>
          <cell r="E785">
            <v>0</v>
          </cell>
          <cell r="F785">
            <v>0</v>
          </cell>
          <cell r="G785">
            <v>0</v>
          </cell>
          <cell r="H785">
            <v>0</v>
          </cell>
          <cell r="I785">
            <v>0</v>
          </cell>
          <cell r="J785">
            <v>0</v>
          </cell>
          <cell r="K785">
            <v>9</v>
          </cell>
          <cell r="L785">
            <v>0</v>
          </cell>
          <cell r="M785">
            <v>0</v>
          </cell>
        </row>
        <row r="786">
          <cell r="C786">
            <v>0</v>
          </cell>
          <cell r="D786">
            <v>0</v>
          </cell>
          <cell r="E786">
            <v>0</v>
          </cell>
          <cell r="F786">
            <v>0</v>
          </cell>
          <cell r="G786">
            <v>0</v>
          </cell>
          <cell r="H786">
            <v>0</v>
          </cell>
          <cell r="I786">
            <v>0</v>
          </cell>
          <cell r="J786">
            <v>0</v>
          </cell>
          <cell r="K786">
            <v>9</v>
          </cell>
          <cell r="L786">
            <v>0</v>
          </cell>
          <cell r="M786">
            <v>0</v>
          </cell>
        </row>
        <row r="787">
          <cell r="C787">
            <v>0</v>
          </cell>
          <cell r="D787">
            <v>0</v>
          </cell>
          <cell r="E787">
            <v>0</v>
          </cell>
          <cell r="F787">
            <v>0</v>
          </cell>
          <cell r="G787">
            <v>0</v>
          </cell>
          <cell r="H787">
            <v>0</v>
          </cell>
          <cell r="I787">
            <v>0</v>
          </cell>
          <cell r="J787">
            <v>0</v>
          </cell>
          <cell r="K787">
            <v>9</v>
          </cell>
          <cell r="L787">
            <v>0</v>
          </cell>
          <cell r="M787">
            <v>0</v>
          </cell>
        </row>
        <row r="788">
          <cell r="C788">
            <v>0</v>
          </cell>
          <cell r="D788">
            <v>0</v>
          </cell>
          <cell r="E788">
            <v>0</v>
          </cell>
          <cell r="F788">
            <v>0</v>
          </cell>
          <cell r="G788">
            <v>0</v>
          </cell>
          <cell r="H788">
            <v>0</v>
          </cell>
          <cell r="I788">
            <v>0</v>
          </cell>
          <cell r="J788">
            <v>0</v>
          </cell>
          <cell r="K788">
            <v>9</v>
          </cell>
          <cell r="L788">
            <v>0</v>
          </cell>
          <cell r="M788">
            <v>0</v>
          </cell>
        </row>
        <row r="789">
          <cell r="C789">
            <v>0</v>
          </cell>
          <cell r="D789">
            <v>0</v>
          </cell>
          <cell r="E789">
            <v>0</v>
          </cell>
          <cell r="F789">
            <v>0</v>
          </cell>
          <cell r="G789">
            <v>0</v>
          </cell>
          <cell r="H789">
            <v>0</v>
          </cell>
          <cell r="I789">
            <v>0</v>
          </cell>
          <cell r="J789">
            <v>0</v>
          </cell>
          <cell r="K789">
            <v>9</v>
          </cell>
          <cell r="L789">
            <v>0</v>
          </cell>
          <cell r="M789">
            <v>0</v>
          </cell>
        </row>
        <row r="790">
          <cell r="C790">
            <v>0</v>
          </cell>
          <cell r="D790">
            <v>0</v>
          </cell>
          <cell r="E790">
            <v>0</v>
          </cell>
          <cell r="F790">
            <v>0</v>
          </cell>
          <cell r="G790">
            <v>0</v>
          </cell>
          <cell r="H790">
            <v>0</v>
          </cell>
          <cell r="I790">
            <v>0</v>
          </cell>
          <cell r="J790">
            <v>0</v>
          </cell>
          <cell r="K790">
            <v>9</v>
          </cell>
          <cell r="L790">
            <v>0</v>
          </cell>
          <cell r="M790">
            <v>0</v>
          </cell>
        </row>
        <row r="791">
          <cell r="C791">
            <v>0</v>
          </cell>
          <cell r="D791">
            <v>0</v>
          </cell>
          <cell r="E791">
            <v>0</v>
          </cell>
          <cell r="F791">
            <v>0</v>
          </cell>
          <cell r="G791">
            <v>0</v>
          </cell>
          <cell r="H791">
            <v>0</v>
          </cell>
          <cell r="I791">
            <v>0</v>
          </cell>
          <cell r="J791">
            <v>0</v>
          </cell>
          <cell r="K791">
            <v>9</v>
          </cell>
          <cell r="L791">
            <v>0</v>
          </cell>
          <cell r="M791">
            <v>0</v>
          </cell>
        </row>
        <row r="792">
          <cell r="C792">
            <v>0</v>
          </cell>
          <cell r="D792">
            <v>0</v>
          </cell>
          <cell r="E792">
            <v>0</v>
          </cell>
          <cell r="F792">
            <v>0</v>
          </cell>
          <cell r="G792">
            <v>0</v>
          </cell>
          <cell r="H792">
            <v>0</v>
          </cell>
          <cell r="I792">
            <v>0</v>
          </cell>
          <cell r="J792">
            <v>0</v>
          </cell>
          <cell r="K792">
            <v>9</v>
          </cell>
          <cell r="L792">
            <v>0</v>
          </cell>
          <cell r="M792">
            <v>0</v>
          </cell>
        </row>
        <row r="793">
          <cell r="C793">
            <v>0</v>
          </cell>
          <cell r="D793">
            <v>0</v>
          </cell>
          <cell r="E793">
            <v>0</v>
          </cell>
          <cell r="F793">
            <v>0</v>
          </cell>
          <cell r="G793">
            <v>0</v>
          </cell>
          <cell r="H793">
            <v>0</v>
          </cell>
          <cell r="I793">
            <v>0</v>
          </cell>
          <cell r="J793">
            <v>0</v>
          </cell>
          <cell r="K793">
            <v>9</v>
          </cell>
          <cell r="L793">
            <v>0</v>
          </cell>
          <cell r="M793">
            <v>0</v>
          </cell>
        </row>
        <row r="794">
          <cell r="C794">
            <v>0</v>
          </cell>
          <cell r="D794">
            <v>0</v>
          </cell>
          <cell r="E794">
            <v>0</v>
          </cell>
          <cell r="F794">
            <v>0</v>
          </cell>
          <cell r="G794">
            <v>0</v>
          </cell>
          <cell r="H794">
            <v>0</v>
          </cell>
          <cell r="I794">
            <v>0</v>
          </cell>
          <cell r="J794">
            <v>0</v>
          </cell>
          <cell r="K794">
            <v>9</v>
          </cell>
          <cell r="L794">
            <v>0</v>
          </cell>
          <cell r="M794">
            <v>0</v>
          </cell>
        </row>
        <row r="795">
          <cell r="C795">
            <v>0</v>
          </cell>
          <cell r="D795">
            <v>0</v>
          </cell>
          <cell r="E795">
            <v>0</v>
          </cell>
          <cell r="F795">
            <v>0</v>
          </cell>
          <cell r="G795">
            <v>0</v>
          </cell>
          <cell r="H795">
            <v>0</v>
          </cell>
          <cell r="I795">
            <v>0</v>
          </cell>
          <cell r="J795">
            <v>0</v>
          </cell>
          <cell r="K795">
            <v>9</v>
          </cell>
          <cell r="L795">
            <v>0</v>
          </cell>
          <cell r="M795">
            <v>0</v>
          </cell>
        </row>
        <row r="796">
          <cell r="C796">
            <v>0</v>
          </cell>
          <cell r="D796">
            <v>0</v>
          </cell>
          <cell r="E796">
            <v>0</v>
          </cell>
          <cell r="F796">
            <v>0</v>
          </cell>
          <cell r="G796">
            <v>0</v>
          </cell>
          <cell r="H796">
            <v>0</v>
          </cell>
          <cell r="I796">
            <v>0</v>
          </cell>
          <cell r="J796">
            <v>0</v>
          </cell>
          <cell r="K796">
            <v>9</v>
          </cell>
          <cell r="L796">
            <v>0</v>
          </cell>
          <cell r="M796">
            <v>0</v>
          </cell>
        </row>
        <row r="797">
          <cell r="C797">
            <v>0</v>
          </cell>
          <cell r="D797">
            <v>0</v>
          </cell>
          <cell r="E797">
            <v>0</v>
          </cell>
          <cell r="F797">
            <v>0</v>
          </cell>
          <cell r="G797">
            <v>0</v>
          </cell>
          <cell r="H797">
            <v>0</v>
          </cell>
          <cell r="I797">
            <v>0</v>
          </cell>
          <cell r="J797">
            <v>0</v>
          </cell>
          <cell r="K797">
            <v>9</v>
          </cell>
          <cell r="L797">
            <v>0</v>
          </cell>
          <cell r="M797">
            <v>0</v>
          </cell>
        </row>
        <row r="798">
          <cell r="C798">
            <v>0</v>
          </cell>
          <cell r="D798">
            <v>0</v>
          </cell>
          <cell r="E798">
            <v>0</v>
          </cell>
          <cell r="F798">
            <v>0</v>
          </cell>
          <cell r="G798">
            <v>0</v>
          </cell>
          <cell r="H798">
            <v>0</v>
          </cell>
          <cell r="I798">
            <v>0</v>
          </cell>
          <cell r="J798">
            <v>0</v>
          </cell>
          <cell r="K798">
            <v>9</v>
          </cell>
          <cell r="L798">
            <v>0</v>
          </cell>
          <cell r="M798">
            <v>0</v>
          </cell>
        </row>
        <row r="799">
          <cell r="C799">
            <v>0</v>
          </cell>
          <cell r="D799">
            <v>0</v>
          </cell>
          <cell r="E799">
            <v>0</v>
          </cell>
          <cell r="F799">
            <v>0</v>
          </cell>
          <cell r="G799">
            <v>0</v>
          </cell>
          <cell r="H799">
            <v>0</v>
          </cell>
          <cell r="I799">
            <v>0</v>
          </cell>
          <cell r="J799">
            <v>0</v>
          </cell>
          <cell r="K799">
            <v>9</v>
          </cell>
          <cell r="L799">
            <v>0</v>
          </cell>
          <cell r="M799">
            <v>0</v>
          </cell>
        </row>
        <row r="800">
          <cell r="C800">
            <v>0</v>
          </cell>
          <cell r="D800">
            <v>0</v>
          </cell>
          <cell r="E800">
            <v>0</v>
          </cell>
          <cell r="F800">
            <v>0</v>
          </cell>
          <cell r="G800">
            <v>0</v>
          </cell>
          <cell r="H800">
            <v>0</v>
          </cell>
          <cell r="I800">
            <v>0</v>
          </cell>
          <cell r="J800">
            <v>0</v>
          </cell>
          <cell r="K800">
            <v>9</v>
          </cell>
          <cell r="L800">
            <v>0</v>
          </cell>
          <cell r="M800">
            <v>0</v>
          </cell>
        </row>
        <row r="801">
          <cell r="C801">
            <v>0</v>
          </cell>
          <cell r="D801">
            <v>0</v>
          </cell>
          <cell r="E801">
            <v>0</v>
          </cell>
          <cell r="F801">
            <v>0</v>
          </cell>
          <cell r="G801">
            <v>0</v>
          </cell>
          <cell r="H801">
            <v>0</v>
          </cell>
          <cell r="I801">
            <v>0</v>
          </cell>
          <cell r="J801">
            <v>0</v>
          </cell>
          <cell r="K801">
            <v>9</v>
          </cell>
          <cell r="L801">
            <v>0</v>
          </cell>
          <cell r="M801">
            <v>0</v>
          </cell>
        </row>
        <row r="802">
          <cell r="C802">
            <v>0</v>
          </cell>
          <cell r="D802">
            <v>0</v>
          </cell>
          <cell r="E802">
            <v>0</v>
          </cell>
          <cell r="F802">
            <v>0</v>
          </cell>
          <cell r="G802">
            <v>0</v>
          </cell>
          <cell r="H802">
            <v>0</v>
          </cell>
          <cell r="I802">
            <v>0</v>
          </cell>
          <cell r="J802">
            <v>0</v>
          </cell>
          <cell r="K802">
            <v>9</v>
          </cell>
          <cell r="L802">
            <v>0</v>
          </cell>
          <cell r="M802">
            <v>0</v>
          </cell>
        </row>
        <row r="803">
          <cell r="C803">
            <v>0</v>
          </cell>
          <cell r="D803">
            <v>0</v>
          </cell>
          <cell r="E803">
            <v>0</v>
          </cell>
          <cell r="F803">
            <v>0</v>
          </cell>
          <cell r="G803">
            <v>0</v>
          </cell>
          <cell r="H803">
            <v>0</v>
          </cell>
          <cell r="I803">
            <v>0</v>
          </cell>
          <cell r="J803">
            <v>0</v>
          </cell>
          <cell r="K803">
            <v>9</v>
          </cell>
          <cell r="L803">
            <v>0</v>
          </cell>
          <cell r="M803">
            <v>0</v>
          </cell>
        </row>
        <row r="804">
          <cell r="C804">
            <v>0</v>
          </cell>
          <cell r="D804">
            <v>0</v>
          </cell>
          <cell r="E804">
            <v>0</v>
          </cell>
          <cell r="F804">
            <v>0</v>
          </cell>
          <cell r="G804">
            <v>0</v>
          </cell>
          <cell r="H804">
            <v>0</v>
          </cell>
          <cell r="I804">
            <v>0</v>
          </cell>
          <cell r="J804">
            <v>0</v>
          </cell>
          <cell r="K804">
            <v>9</v>
          </cell>
          <cell r="L804">
            <v>0</v>
          </cell>
          <cell r="M804">
            <v>0</v>
          </cell>
        </row>
        <row r="805">
          <cell r="C805">
            <v>0</v>
          </cell>
          <cell r="D805">
            <v>0</v>
          </cell>
          <cell r="E805">
            <v>0</v>
          </cell>
          <cell r="F805">
            <v>0</v>
          </cell>
          <cell r="G805">
            <v>0</v>
          </cell>
          <cell r="H805">
            <v>0</v>
          </cell>
          <cell r="I805">
            <v>0</v>
          </cell>
          <cell r="J805">
            <v>0</v>
          </cell>
          <cell r="K805">
            <v>9</v>
          </cell>
          <cell r="L805">
            <v>0</v>
          </cell>
          <cell r="M805">
            <v>0</v>
          </cell>
        </row>
        <row r="806">
          <cell r="C806">
            <v>0</v>
          </cell>
          <cell r="D806">
            <v>0</v>
          </cell>
          <cell r="E806">
            <v>0</v>
          </cell>
          <cell r="F806">
            <v>0</v>
          </cell>
          <cell r="G806">
            <v>0</v>
          </cell>
          <cell r="H806">
            <v>0</v>
          </cell>
          <cell r="I806">
            <v>0</v>
          </cell>
          <cell r="J806">
            <v>0</v>
          </cell>
          <cell r="K806">
            <v>9</v>
          </cell>
          <cell r="L806">
            <v>0</v>
          </cell>
          <cell r="M806">
            <v>0</v>
          </cell>
        </row>
        <row r="807">
          <cell r="C807">
            <v>0</v>
          </cell>
          <cell r="D807">
            <v>0</v>
          </cell>
          <cell r="E807">
            <v>0</v>
          </cell>
          <cell r="F807">
            <v>0</v>
          </cell>
          <cell r="G807">
            <v>0</v>
          </cell>
          <cell r="H807">
            <v>0</v>
          </cell>
          <cell r="I807">
            <v>0</v>
          </cell>
          <cell r="J807">
            <v>0</v>
          </cell>
          <cell r="K807">
            <v>9</v>
          </cell>
          <cell r="L807">
            <v>0</v>
          </cell>
          <cell r="M807">
            <v>0</v>
          </cell>
        </row>
        <row r="808">
          <cell r="C808">
            <v>0</v>
          </cell>
          <cell r="D808">
            <v>0</v>
          </cell>
          <cell r="E808">
            <v>0</v>
          </cell>
          <cell r="F808">
            <v>0</v>
          </cell>
          <cell r="G808">
            <v>0</v>
          </cell>
          <cell r="H808">
            <v>0</v>
          </cell>
          <cell r="I808">
            <v>0</v>
          </cell>
          <cell r="J808">
            <v>0</v>
          </cell>
          <cell r="K808">
            <v>9</v>
          </cell>
          <cell r="L808">
            <v>0</v>
          </cell>
          <cell r="M808">
            <v>0</v>
          </cell>
        </row>
        <row r="809">
          <cell r="C809">
            <v>0</v>
          </cell>
          <cell r="D809">
            <v>0</v>
          </cell>
          <cell r="E809">
            <v>0</v>
          </cell>
          <cell r="F809">
            <v>0</v>
          </cell>
          <cell r="G809">
            <v>0</v>
          </cell>
          <cell r="H809">
            <v>0</v>
          </cell>
          <cell r="I809">
            <v>0</v>
          </cell>
          <cell r="J809">
            <v>0</v>
          </cell>
          <cell r="K809">
            <v>9</v>
          </cell>
          <cell r="L809">
            <v>0</v>
          </cell>
          <cell r="M809">
            <v>0</v>
          </cell>
        </row>
        <row r="810">
          <cell r="C810">
            <v>0</v>
          </cell>
          <cell r="D810">
            <v>0</v>
          </cell>
          <cell r="E810">
            <v>0</v>
          </cell>
          <cell r="F810">
            <v>0</v>
          </cell>
          <cell r="G810">
            <v>0</v>
          </cell>
          <cell r="H810">
            <v>0</v>
          </cell>
          <cell r="I810">
            <v>0</v>
          </cell>
          <cell r="J810">
            <v>0</v>
          </cell>
          <cell r="K810">
            <v>9</v>
          </cell>
          <cell r="L810">
            <v>0</v>
          </cell>
          <cell r="M810">
            <v>0</v>
          </cell>
        </row>
        <row r="811">
          <cell r="C811">
            <v>0</v>
          </cell>
          <cell r="D811">
            <v>0</v>
          </cell>
          <cell r="E811">
            <v>0</v>
          </cell>
          <cell r="F811">
            <v>0</v>
          </cell>
          <cell r="G811">
            <v>0</v>
          </cell>
          <cell r="H811">
            <v>0</v>
          </cell>
          <cell r="I811">
            <v>0</v>
          </cell>
          <cell r="J811">
            <v>0</v>
          </cell>
          <cell r="K811">
            <v>9</v>
          </cell>
          <cell r="L811">
            <v>0</v>
          </cell>
          <cell r="M811">
            <v>0</v>
          </cell>
        </row>
        <row r="812">
          <cell r="C812">
            <v>0</v>
          </cell>
          <cell r="D812">
            <v>0</v>
          </cell>
          <cell r="E812">
            <v>0</v>
          </cell>
          <cell r="F812">
            <v>0</v>
          </cell>
          <cell r="G812">
            <v>0</v>
          </cell>
          <cell r="H812">
            <v>0</v>
          </cell>
          <cell r="I812">
            <v>0</v>
          </cell>
          <cell r="J812">
            <v>0</v>
          </cell>
          <cell r="K812">
            <v>9</v>
          </cell>
          <cell r="L812">
            <v>0</v>
          </cell>
          <cell r="M812">
            <v>0</v>
          </cell>
        </row>
        <row r="813">
          <cell r="C813">
            <v>0</v>
          </cell>
          <cell r="D813">
            <v>0</v>
          </cell>
          <cell r="E813">
            <v>0</v>
          </cell>
          <cell r="F813">
            <v>0</v>
          </cell>
          <cell r="G813">
            <v>0</v>
          </cell>
          <cell r="H813">
            <v>0</v>
          </cell>
          <cell r="I813">
            <v>0</v>
          </cell>
          <cell r="J813">
            <v>0</v>
          </cell>
          <cell r="K813">
            <v>9</v>
          </cell>
          <cell r="L813">
            <v>0</v>
          </cell>
          <cell r="M813">
            <v>0</v>
          </cell>
        </row>
        <row r="814">
          <cell r="C814">
            <v>0</v>
          </cell>
          <cell r="D814">
            <v>0</v>
          </cell>
          <cell r="E814">
            <v>0</v>
          </cell>
          <cell r="F814">
            <v>0</v>
          </cell>
          <cell r="G814">
            <v>0</v>
          </cell>
          <cell r="H814">
            <v>0</v>
          </cell>
          <cell r="I814">
            <v>0</v>
          </cell>
          <cell r="J814">
            <v>0</v>
          </cell>
          <cell r="K814">
            <v>9</v>
          </cell>
          <cell r="L814">
            <v>0</v>
          </cell>
          <cell r="M814">
            <v>0</v>
          </cell>
        </row>
        <row r="815">
          <cell r="C815">
            <v>0</v>
          </cell>
          <cell r="D815">
            <v>0</v>
          </cell>
          <cell r="E815">
            <v>0</v>
          </cell>
          <cell r="F815">
            <v>0</v>
          </cell>
          <cell r="G815">
            <v>0</v>
          </cell>
          <cell r="H815">
            <v>0</v>
          </cell>
          <cell r="I815">
            <v>0</v>
          </cell>
          <cell r="J815">
            <v>0</v>
          </cell>
          <cell r="K815">
            <v>9</v>
          </cell>
          <cell r="L815">
            <v>0</v>
          </cell>
          <cell r="M815">
            <v>0</v>
          </cell>
        </row>
        <row r="816">
          <cell r="C816">
            <v>0</v>
          </cell>
          <cell r="D816">
            <v>0</v>
          </cell>
          <cell r="E816">
            <v>0</v>
          </cell>
          <cell r="F816">
            <v>0</v>
          </cell>
          <cell r="G816">
            <v>0</v>
          </cell>
          <cell r="H816">
            <v>0</v>
          </cell>
          <cell r="I816">
            <v>0</v>
          </cell>
          <cell r="J816">
            <v>0</v>
          </cell>
          <cell r="K816">
            <v>9</v>
          </cell>
          <cell r="L816">
            <v>0</v>
          </cell>
          <cell r="M816">
            <v>0</v>
          </cell>
        </row>
        <row r="817">
          <cell r="C817">
            <v>0</v>
          </cell>
          <cell r="D817">
            <v>0</v>
          </cell>
          <cell r="E817">
            <v>0</v>
          </cell>
          <cell r="F817">
            <v>0</v>
          </cell>
          <cell r="G817">
            <v>0</v>
          </cell>
          <cell r="H817">
            <v>0</v>
          </cell>
          <cell r="I817">
            <v>0</v>
          </cell>
          <cell r="J817">
            <v>0</v>
          </cell>
          <cell r="K817">
            <v>9</v>
          </cell>
          <cell r="L817">
            <v>0</v>
          </cell>
          <cell r="M817">
            <v>0</v>
          </cell>
        </row>
        <row r="818">
          <cell r="C818">
            <v>0</v>
          </cell>
          <cell r="D818">
            <v>0</v>
          </cell>
          <cell r="E818">
            <v>0</v>
          </cell>
          <cell r="F818">
            <v>0</v>
          </cell>
          <cell r="G818">
            <v>0</v>
          </cell>
          <cell r="H818">
            <v>0</v>
          </cell>
          <cell r="I818">
            <v>0</v>
          </cell>
          <cell r="J818">
            <v>0</v>
          </cell>
          <cell r="K818">
            <v>9</v>
          </cell>
          <cell r="L818">
            <v>0</v>
          </cell>
          <cell r="M818">
            <v>0</v>
          </cell>
        </row>
        <row r="819">
          <cell r="C819">
            <v>0</v>
          </cell>
          <cell r="D819">
            <v>0</v>
          </cell>
          <cell r="E819">
            <v>0</v>
          </cell>
          <cell r="F819">
            <v>0</v>
          </cell>
          <cell r="G819">
            <v>0</v>
          </cell>
          <cell r="H819">
            <v>0</v>
          </cell>
          <cell r="I819">
            <v>0</v>
          </cell>
          <cell r="J819">
            <v>0</v>
          </cell>
          <cell r="K819">
            <v>9</v>
          </cell>
          <cell r="L819">
            <v>0</v>
          </cell>
          <cell r="M819">
            <v>0</v>
          </cell>
        </row>
        <row r="820">
          <cell r="C820">
            <v>0</v>
          </cell>
          <cell r="D820">
            <v>0</v>
          </cell>
          <cell r="E820">
            <v>0</v>
          </cell>
          <cell r="F820">
            <v>0</v>
          </cell>
          <cell r="G820">
            <v>0</v>
          </cell>
          <cell r="H820">
            <v>0</v>
          </cell>
          <cell r="I820">
            <v>0</v>
          </cell>
          <cell r="J820">
            <v>0</v>
          </cell>
          <cell r="K820">
            <v>9</v>
          </cell>
          <cell r="L820">
            <v>0</v>
          </cell>
          <cell r="M820">
            <v>0</v>
          </cell>
        </row>
        <row r="821">
          <cell r="C821">
            <v>0</v>
          </cell>
          <cell r="D821">
            <v>0</v>
          </cell>
          <cell r="E821">
            <v>0</v>
          </cell>
          <cell r="F821">
            <v>0</v>
          </cell>
          <cell r="G821">
            <v>0</v>
          </cell>
          <cell r="H821">
            <v>0</v>
          </cell>
          <cell r="I821">
            <v>0</v>
          </cell>
          <cell r="J821">
            <v>0</v>
          </cell>
          <cell r="K821">
            <v>9</v>
          </cell>
          <cell r="L821">
            <v>0</v>
          </cell>
          <cell r="M821">
            <v>0</v>
          </cell>
        </row>
        <row r="822">
          <cell r="C822">
            <v>0</v>
          </cell>
          <cell r="D822">
            <v>0</v>
          </cell>
          <cell r="E822">
            <v>0</v>
          </cell>
          <cell r="F822">
            <v>0</v>
          </cell>
          <cell r="G822">
            <v>0</v>
          </cell>
          <cell r="H822">
            <v>0</v>
          </cell>
          <cell r="I822">
            <v>0</v>
          </cell>
          <cell r="J822">
            <v>0</v>
          </cell>
          <cell r="K822">
            <v>9</v>
          </cell>
          <cell r="L822">
            <v>0</v>
          </cell>
          <cell r="M822">
            <v>0</v>
          </cell>
        </row>
        <row r="823">
          <cell r="C823">
            <v>0</v>
          </cell>
          <cell r="D823">
            <v>0</v>
          </cell>
          <cell r="E823">
            <v>0</v>
          </cell>
          <cell r="F823">
            <v>0</v>
          </cell>
          <cell r="G823">
            <v>0</v>
          </cell>
          <cell r="H823">
            <v>0</v>
          </cell>
          <cell r="I823">
            <v>0</v>
          </cell>
          <cell r="J823">
            <v>0</v>
          </cell>
          <cell r="K823">
            <v>9</v>
          </cell>
          <cell r="L823">
            <v>0</v>
          </cell>
          <cell r="M823">
            <v>0</v>
          </cell>
        </row>
        <row r="824">
          <cell r="C824">
            <v>0</v>
          </cell>
          <cell r="D824">
            <v>0</v>
          </cell>
          <cell r="E824">
            <v>0</v>
          </cell>
          <cell r="F824">
            <v>0</v>
          </cell>
          <cell r="G824">
            <v>0</v>
          </cell>
          <cell r="H824">
            <v>0</v>
          </cell>
          <cell r="I824">
            <v>0</v>
          </cell>
          <cell r="J824">
            <v>0</v>
          </cell>
          <cell r="K824">
            <v>9</v>
          </cell>
          <cell r="L824">
            <v>0</v>
          </cell>
          <cell r="M824">
            <v>0</v>
          </cell>
        </row>
        <row r="825">
          <cell r="C825">
            <v>0</v>
          </cell>
          <cell r="D825">
            <v>0</v>
          </cell>
          <cell r="E825">
            <v>0</v>
          </cell>
          <cell r="F825">
            <v>0</v>
          </cell>
          <cell r="G825">
            <v>0</v>
          </cell>
          <cell r="H825">
            <v>0</v>
          </cell>
          <cell r="I825">
            <v>0</v>
          </cell>
          <cell r="J825">
            <v>0</v>
          </cell>
          <cell r="K825">
            <v>9</v>
          </cell>
          <cell r="L825">
            <v>0</v>
          </cell>
          <cell r="M825">
            <v>0</v>
          </cell>
        </row>
        <row r="826">
          <cell r="C826">
            <v>0</v>
          </cell>
          <cell r="D826">
            <v>0</v>
          </cell>
          <cell r="E826">
            <v>0</v>
          </cell>
          <cell r="F826">
            <v>0</v>
          </cell>
          <cell r="G826">
            <v>0</v>
          </cell>
          <cell r="H826">
            <v>0</v>
          </cell>
          <cell r="I826">
            <v>0</v>
          </cell>
          <cell r="J826">
            <v>0</v>
          </cell>
          <cell r="K826">
            <v>9</v>
          </cell>
          <cell r="L826">
            <v>0</v>
          </cell>
          <cell r="M826">
            <v>0</v>
          </cell>
        </row>
        <row r="827">
          <cell r="C827">
            <v>0</v>
          </cell>
          <cell r="D827">
            <v>0</v>
          </cell>
          <cell r="E827">
            <v>0</v>
          </cell>
          <cell r="F827">
            <v>0</v>
          </cell>
          <cell r="G827">
            <v>0</v>
          </cell>
          <cell r="H827">
            <v>0</v>
          </cell>
          <cell r="I827">
            <v>0</v>
          </cell>
          <cell r="J827">
            <v>0</v>
          </cell>
          <cell r="K827">
            <v>9</v>
          </cell>
          <cell r="L827">
            <v>0</v>
          </cell>
          <cell r="M827">
            <v>0</v>
          </cell>
        </row>
        <row r="828">
          <cell r="C828">
            <v>0</v>
          </cell>
          <cell r="D828">
            <v>0</v>
          </cell>
          <cell r="E828">
            <v>0</v>
          </cell>
          <cell r="F828">
            <v>0</v>
          </cell>
          <cell r="G828">
            <v>0</v>
          </cell>
          <cell r="H828">
            <v>0</v>
          </cell>
          <cell r="I828">
            <v>0</v>
          </cell>
          <cell r="J828">
            <v>0</v>
          </cell>
          <cell r="K828">
            <v>9</v>
          </cell>
          <cell r="L828">
            <v>0</v>
          </cell>
          <cell r="M828">
            <v>0</v>
          </cell>
        </row>
        <row r="829">
          <cell r="C829">
            <v>0</v>
          </cell>
          <cell r="D829">
            <v>0</v>
          </cell>
          <cell r="E829">
            <v>0</v>
          </cell>
          <cell r="F829">
            <v>0</v>
          </cell>
          <cell r="G829">
            <v>0</v>
          </cell>
          <cell r="H829">
            <v>0</v>
          </cell>
          <cell r="I829">
            <v>0</v>
          </cell>
          <cell r="J829">
            <v>0</v>
          </cell>
          <cell r="K829">
            <v>9</v>
          </cell>
          <cell r="L829">
            <v>0</v>
          </cell>
          <cell r="M829">
            <v>0</v>
          </cell>
        </row>
        <row r="830">
          <cell r="C830">
            <v>0</v>
          </cell>
          <cell r="D830">
            <v>0</v>
          </cell>
          <cell r="E830">
            <v>0</v>
          </cell>
          <cell r="F830">
            <v>0</v>
          </cell>
          <cell r="G830">
            <v>0</v>
          </cell>
          <cell r="H830">
            <v>0</v>
          </cell>
          <cell r="I830">
            <v>0</v>
          </cell>
          <cell r="J830">
            <v>0</v>
          </cell>
          <cell r="K830">
            <v>9</v>
          </cell>
          <cell r="L830">
            <v>0</v>
          </cell>
          <cell r="M830">
            <v>0</v>
          </cell>
        </row>
        <row r="831">
          <cell r="C831">
            <v>0</v>
          </cell>
          <cell r="D831">
            <v>0</v>
          </cell>
          <cell r="E831">
            <v>0</v>
          </cell>
          <cell r="F831">
            <v>0</v>
          </cell>
          <cell r="G831">
            <v>0</v>
          </cell>
          <cell r="H831">
            <v>0</v>
          </cell>
          <cell r="I831">
            <v>0</v>
          </cell>
          <cell r="J831">
            <v>0</v>
          </cell>
          <cell r="K831">
            <v>9</v>
          </cell>
          <cell r="L831">
            <v>0</v>
          </cell>
          <cell r="M831">
            <v>0</v>
          </cell>
        </row>
        <row r="832">
          <cell r="C832">
            <v>0</v>
          </cell>
          <cell r="D832">
            <v>0</v>
          </cell>
          <cell r="E832">
            <v>0</v>
          </cell>
          <cell r="F832">
            <v>0</v>
          </cell>
          <cell r="G832">
            <v>0</v>
          </cell>
          <cell r="H832">
            <v>0</v>
          </cell>
          <cell r="I832">
            <v>0</v>
          </cell>
          <cell r="J832">
            <v>0</v>
          </cell>
          <cell r="K832">
            <v>9</v>
          </cell>
          <cell r="L832">
            <v>0</v>
          </cell>
          <cell r="M832">
            <v>0</v>
          </cell>
        </row>
        <row r="833">
          <cell r="C833">
            <v>0</v>
          </cell>
          <cell r="D833">
            <v>0</v>
          </cell>
          <cell r="E833">
            <v>0</v>
          </cell>
          <cell r="F833">
            <v>0</v>
          </cell>
          <cell r="G833">
            <v>0</v>
          </cell>
          <cell r="H833">
            <v>0</v>
          </cell>
          <cell r="I833">
            <v>0</v>
          </cell>
          <cell r="J833">
            <v>0</v>
          </cell>
          <cell r="K833">
            <v>9</v>
          </cell>
          <cell r="L833">
            <v>0</v>
          </cell>
          <cell r="M833">
            <v>0</v>
          </cell>
        </row>
        <row r="834">
          <cell r="C834">
            <v>0</v>
          </cell>
          <cell r="D834">
            <v>0</v>
          </cell>
          <cell r="E834">
            <v>0</v>
          </cell>
          <cell r="F834">
            <v>0</v>
          </cell>
          <cell r="G834">
            <v>0</v>
          </cell>
          <cell r="H834">
            <v>0</v>
          </cell>
          <cell r="I834">
            <v>0</v>
          </cell>
          <cell r="J834">
            <v>0</v>
          </cell>
          <cell r="K834">
            <v>9</v>
          </cell>
          <cell r="L834">
            <v>0</v>
          </cell>
          <cell r="M834">
            <v>0</v>
          </cell>
        </row>
        <row r="835">
          <cell r="C835">
            <v>0</v>
          </cell>
          <cell r="D835">
            <v>0</v>
          </cell>
          <cell r="E835">
            <v>0</v>
          </cell>
          <cell r="F835">
            <v>0</v>
          </cell>
          <cell r="G835">
            <v>0</v>
          </cell>
          <cell r="H835">
            <v>0</v>
          </cell>
          <cell r="I835">
            <v>0</v>
          </cell>
          <cell r="J835">
            <v>0</v>
          </cell>
          <cell r="K835">
            <v>9</v>
          </cell>
          <cell r="L835">
            <v>0</v>
          </cell>
          <cell r="M835">
            <v>0</v>
          </cell>
        </row>
        <row r="836">
          <cell r="C836">
            <v>0</v>
          </cell>
          <cell r="D836">
            <v>0</v>
          </cell>
          <cell r="E836">
            <v>0</v>
          </cell>
          <cell r="F836">
            <v>0</v>
          </cell>
          <cell r="G836">
            <v>0</v>
          </cell>
          <cell r="H836">
            <v>0</v>
          </cell>
          <cell r="I836">
            <v>0</v>
          </cell>
          <cell r="J836">
            <v>0</v>
          </cell>
          <cell r="K836">
            <v>9</v>
          </cell>
          <cell r="L836">
            <v>0</v>
          </cell>
          <cell r="M836">
            <v>0</v>
          </cell>
        </row>
        <row r="837">
          <cell r="C837">
            <v>0</v>
          </cell>
          <cell r="D837">
            <v>0</v>
          </cell>
          <cell r="E837">
            <v>0</v>
          </cell>
          <cell r="F837">
            <v>0</v>
          </cell>
          <cell r="G837">
            <v>0</v>
          </cell>
          <cell r="H837">
            <v>0</v>
          </cell>
          <cell r="I837">
            <v>0</v>
          </cell>
          <cell r="J837">
            <v>0</v>
          </cell>
          <cell r="K837">
            <v>9</v>
          </cell>
          <cell r="L837">
            <v>0</v>
          </cell>
          <cell r="M837">
            <v>0</v>
          </cell>
        </row>
        <row r="838">
          <cell r="C838">
            <v>0</v>
          </cell>
          <cell r="D838">
            <v>0</v>
          </cell>
          <cell r="E838">
            <v>0</v>
          </cell>
          <cell r="F838">
            <v>0</v>
          </cell>
          <cell r="G838">
            <v>0</v>
          </cell>
          <cell r="H838">
            <v>0</v>
          </cell>
          <cell r="I838">
            <v>0</v>
          </cell>
          <cell r="J838">
            <v>0</v>
          </cell>
          <cell r="K838">
            <v>9</v>
          </cell>
          <cell r="L838">
            <v>0</v>
          </cell>
          <cell r="M838">
            <v>0</v>
          </cell>
        </row>
        <row r="839">
          <cell r="C839">
            <v>0</v>
          </cell>
          <cell r="D839">
            <v>0</v>
          </cell>
          <cell r="E839">
            <v>0</v>
          </cell>
          <cell r="F839">
            <v>0</v>
          </cell>
          <cell r="G839">
            <v>0</v>
          </cell>
          <cell r="H839">
            <v>0</v>
          </cell>
          <cell r="I839">
            <v>0</v>
          </cell>
          <cell r="J839">
            <v>0</v>
          </cell>
          <cell r="K839">
            <v>9</v>
          </cell>
          <cell r="L839">
            <v>0</v>
          </cell>
          <cell r="M839">
            <v>0</v>
          </cell>
        </row>
        <row r="840">
          <cell r="C840">
            <v>0</v>
          </cell>
          <cell r="D840">
            <v>0</v>
          </cell>
          <cell r="E840">
            <v>0</v>
          </cell>
          <cell r="F840">
            <v>0</v>
          </cell>
          <cell r="G840">
            <v>0</v>
          </cell>
          <cell r="H840">
            <v>0</v>
          </cell>
          <cell r="I840">
            <v>0</v>
          </cell>
          <cell r="J840">
            <v>0</v>
          </cell>
          <cell r="K840">
            <v>9</v>
          </cell>
          <cell r="L840">
            <v>0</v>
          </cell>
          <cell r="M840">
            <v>0</v>
          </cell>
        </row>
        <row r="841">
          <cell r="C841">
            <v>0</v>
          </cell>
          <cell r="D841">
            <v>0</v>
          </cell>
          <cell r="E841">
            <v>0</v>
          </cell>
          <cell r="F841">
            <v>0</v>
          </cell>
          <cell r="G841">
            <v>0</v>
          </cell>
          <cell r="H841">
            <v>0</v>
          </cell>
          <cell r="I841">
            <v>0</v>
          </cell>
          <cell r="J841">
            <v>0</v>
          </cell>
          <cell r="K841">
            <v>9</v>
          </cell>
          <cell r="L841">
            <v>0</v>
          </cell>
          <cell r="M841">
            <v>0</v>
          </cell>
        </row>
        <row r="842">
          <cell r="C842">
            <v>0</v>
          </cell>
          <cell r="D842">
            <v>0</v>
          </cell>
          <cell r="E842">
            <v>0</v>
          </cell>
          <cell r="F842">
            <v>0</v>
          </cell>
          <cell r="G842">
            <v>0</v>
          </cell>
          <cell r="H842">
            <v>0</v>
          </cell>
          <cell r="I842">
            <v>0</v>
          </cell>
          <cell r="J842">
            <v>0</v>
          </cell>
          <cell r="K842">
            <v>9</v>
          </cell>
          <cell r="L842">
            <v>0</v>
          </cell>
          <cell r="M842">
            <v>0</v>
          </cell>
        </row>
        <row r="843">
          <cell r="C843">
            <v>0</v>
          </cell>
          <cell r="D843">
            <v>0</v>
          </cell>
          <cell r="E843">
            <v>0</v>
          </cell>
          <cell r="F843">
            <v>0</v>
          </cell>
          <cell r="G843">
            <v>0</v>
          </cell>
          <cell r="H843">
            <v>0</v>
          </cell>
          <cell r="I843">
            <v>0</v>
          </cell>
          <cell r="J843">
            <v>0</v>
          </cell>
          <cell r="K843">
            <v>9</v>
          </cell>
          <cell r="L843">
            <v>0</v>
          </cell>
          <cell r="M843">
            <v>0</v>
          </cell>
        </row>
        <row r="844">
          <cell r="C844">
            <v>0</v>
          </cell>
          <cell r="D844">
            <v>0</v>
          </cell>
          <cell r="E844">
            <v>0</v>
          </cell>
          <cell r="F844">
            <v>0</v>
          </cell>
          <cell r="G844">
            <v>0</v>
          </cell>
          <cell r="H844">
            <v>0</v>
          </cell>
          <cell r="I844">
            <v>0</v>
          </cell>
          <cell r="J844">
            <v>0</v>
          </cell>
          <cell r="K844">
            <v>9</v>
          </cell>
          <cell r="L844">
            <v>0</v>
          </cell>
          <cell r="M844">
            <v>0</v>
          </cell>
        </row>
        <row r="845">
          <cell r="C845">
            <v>0</v>
          </cell>
          <cell r="D845">
            <v>0</v>
          </cell>
          <cell r="E845">
            <v>0</v>
          </cell>
          <cell r="F845">
            <v>0</v>
          </cell>
          <cell r="G845">
            <v>0</v>
          </cell>
          <cell r="H845">
            <v>0</v>
          </cell>
          <cell r="I845">
            <v>0</v>
          </cell>
          <cell r="J845">
            <v>0</v>
          </cell>
          <cell r="K845">
            <v>9</v>
          </cell>
          <cell r="L845">
            <v>0</v>
          </cell>
          <cell r="M845">
            <v>0</v>
          </cell>
        </row>
        <row r="846">
          <cell r="C846">
            <v>0</v>
          </cell>
          <cell r="D846">
            <v>0</v>
          </cell>
          <cell r="E846">
            <v>0</v>
          </cell>
          <cell r="F846">
            <v>0</v>
          </cell>
          <cell r="G846">
            <v>0</v>
          </cell>
          <cell r="H846">
            <v>0</v>
          </cell>
          <cell r="I846">
            <v>0</v>
          </cell>
          <cell r="J846">
            <v>0</v>
          </cell>
          <cell r="K846">
            <v>9</v>
          </cell>
          <cell r="L846">
            <v>0</v>
          </cell>
          <cell r="M846">
            <v>0</v>
          </cell>
        </row>
        <row r="847">
          <cell r="C847">
            <v>0</v>
          </cell>
          <cell r="D847">
            <v>0</v>
          </cell>
          <cell r="E847">
            <v>0</v>
          </cell>
          <cell r="F847">
            <v>0</v>
          </cell>
          <cell r="G847">
            <v>0</v>
          </cell>
          <cell r="H847">
            <v>0</v>
          </cell>
          <cell r="I847">
            <v>0</v>
          </cell>
          <cell r="J847">
            <v>0</v>
          </cell>
          <cell r="K847">
            <v>9</v>
          </cell>
          <cell r="L847">
            <v>0</v>
          </cell>
          <cell r="M847">
            <v>0</v>
          </cell>
        </row>
        <row r="848">
          <cell r="C848">
            <v>0</v>
          </cell>
          <cell r="D848">
            <v>0</v>
          </cell>
          <cell r="E848">
            <v>0</v>
          </cell>
          <cell r="F848">
            <v>0</v>
          </cell>
          <cell r="G848">
            <v>0</v>
          </cell>
          <cell r="H848">
            <v>0</v>
          </cell>
          <cell r="I848">
            <v>0</v>
          </cell>
          <cell r="J848">
            <v>0</v>
          </cell>
          <cell r="K848">
            <v>9</v>
          </cell>
          <cell r="L848">
            <v>0</v>
          </cell>
          <cell r="M848">
            <v>0</v>
          </cell>
        </row>
        <row r="849">
          <cell r="C849">
            <v>0</v>
          </cell>
          <cell r="D849">
            <v>0</v>
          </cell>
          <cell r="E849">
            <v>0</v>
          </cell>
          <cell r="F849">
            <v>0</v>
          </cell>
          <cell r="G849">
            <v>0</v>
          </cell>
          <cell r="H849">
            <v>0</v>
          </cell>
          <cell r="I849">
            <v>0</v>
          </cell>
          <cell r="J849">
            <v>0</v>
          </cell>
          <cell r="K849">
            <v>9</v>
          </cell>
          <cell r="L849">
            <v>0</v>
          </cell>
          <cell r="M849">
            <v>0</v>
          </cell>
        </row>
        <row r="850">
          <cell r="C850">
            <v>0</v>
          </cell>
          <cell r="D850">
            <v>0</v>
          </cell>
          <cell r="E850">
            <v>0</v>
          </cell>
          <cell r="F850">
            <v>0</v>
          </cell>
          <cell r="G850">
            <v>0</v>
          </cell>
          <cell r="H850">
            <v>0</v>
          </cell>
          <cell r="I850">
            <v>0</v>
          </cell>
          <cell r="J850">
            <v>0</v>
          </cell>
          <cell r="K850">
            <v>9</v>
          </cell>
          <cell r="L850">
            <v>0</v>
          </cell>
          <cell r="M850">
            <v>0</v>
          </cell>
        </row>
        <row r="851">
          <cell r="C851">
            <v>0</v>
          </cell>
          <cell r="D851">
            <v>0</v>
          </cell>
          <cell r="E851">
            <v>0</v>
          </cell>
          <cell r="F851">
            <v>0</v>
          </cell>
          <cell r="G851">
            <v>0</v>
          </cell>
          <cell r="H851">
            <v>0</v>
          </cell>
          <cell r="I851">
            <v>0</v>
          </cell>
          <cell r="J851">
            <v>0</v>
          </cell>
          <cell r="K851">
            <v>9</v>
          </cell>
          <cell r="L851">
            <v>0</v>
          </cell>
          <cell r="M851">
            <v>0</v>
          </cell>
        </row>
        <row r="852">
          <cell r="C852">
            <v>0</v>
          </cell>
          <cell r="D852">
            <v>0</v>
          </cell>
          <cell r="E852">
            <v>0</v>
          </cell>
          <cell r="F852">
            <v>0</v>
          </cell>
          <cell r="G852">
            <v>0</v>
          </cell>
          <cell r="H852">
            <v>0</v>
          </cell>
          <cell r="I852">
            <v>0</v>
          </cell>
          <cell r="J852">
            <v>0</v>
          </cell>
          <cell r="K852">
            <v>9</v>
          </cell>
          <cell r="L852">
            <v>0</v>
          </cell>
          <cell r="M852">
            <v>0</v>
          </cell>
        </row>
        <row r="853">
          <cell r="C853">
            <v>0</v>
          </cell>
          <cell r="D853">
            <v>0</v>
          </cell>
          <cell r="E853">
            <v>0</v>
          </cell>
          <cell r="F853">
            <v>0</v>
          </cell>
          <cell r="G853">
            <v>0</v>
          </cell>
          <cell r="H853">
            <v>0</v>
          </cell>
          <cell r="I853">
            <v>0</v>
          </cell>
          <cell r="J853">
            <v>0</v>
          </cell>
          <cell r="K853">
            <v>9</v>
          </cell>
          <cell r="L853">
            <v>0</v>
          </cell>
          <cell r="M853">
            <v>0</v>
          </cell>
        </row>
        <row r="854">
          <cell r="C854">
            <v>0</v>
          </cell>
          <cell r="D854">
            <v>0</v>
          </cell>
          <cell r="E854">
            <v>0</v>
          </cell>
          <cell r="F854">
            <v>0</v>
          </cell>
          <cell r="G854">
            <v>0</v>
          </cell>
          <cell r="H854">
            <v>0</v>
          </cell>
          <cell r="I854">
            <v>0</v>
          </cell>
          <cell r="J854">
            <v>0</v>
          </cell>
          <cell r="K854">
            <v>9</v>
          </cell>
          <cell r="L854">
            <v>0</v>
          </cell>
          <cell r="M854">
            <v>0</v>
          </cell>
        </row>
        <row r="855">
          <cell r="C855">
            <v>0</v>
          </cell>
          <cell r="D855">
            <v>0</v>
          </cell>
          <cell r="E855">
            <v>0</v>
          </cell>
          <cell r="F855">
            <v>0</v>
          </cell>
          <cell r="G855">
            <v>0</v>
          </cell>
          <cell r="H855">
            <v>0</v>
          </cell>
          <cell r="I855">
            <v>0</v>
          </cell>
          <cell r="J855">
            <v>0</v>
          </cell>
          <cell r="K855">
            <v>9</v>
          </cell>
          <cell r="L855">
            <v>0</v>
          </cell>
          <cell r="M855">
            <v>0</v>
          </cell>
        </row>
        <row r="856">
          <cell r="C856">
            <v>0</v>
          </cell>
          <cell r="D856">
            <v>0</v>
          </cell>
          <cell r="E856">
            <v>0</v>
          </cell>
          <cell r="F856">
            <v>0</v>
          </cell>
          <cell r="G856">
            <v>0</v>
          </cell>
          <cell r="H856">
            <v>0</v>
          </cell>
          <cell r="I856">
            <v>0</v>
          </cell>
          <cell r="J856">
            <v>0</v>
          </cell>
          <cell r="K856">
            <v>9</v>
          </cell>
          <cell r="L856">
            <v>0</v>
          </cell>
          <cell r="M856">
            <v>0</v>
          </cell>
        </row>
        <row r="857">
          <cell r="C857">
            <v>0</v>
          </cell>
          <cell r="D857">
            <v>0</v>
          </cell>
          <cell r="E857">
            <v>0</v>
          </cell>
          <cell r="F857">
            <v>0</v>
          </cell>
          <cell r="G857">
            <v>0</v>
          </cell>
          <cell r="H857">
            <v>0</v>
          </cell>
          <cell r="I857">
            <v>0</v>
          </cell>
          <cell r="J857">
            <v>0</v>
          </cell>
          <cell r="K857">
            <v>9</v>
          </cell>
          <cell r="L857">
            <v>0</v>
          </cell>
          <cell r="M857">
            <v>0</v>
          </cell>
        </row>
        <row r="858">
          <cell r="C858">
            <v>0</v>
          </cell>
          <cell r="D858">
            <v>0</v>
          </cell>
          <cell r="E858">
            <v>0</v>
          </cell>
          <cell r="F858">
            <v>0</v>
          </cell>
          <cell r="G858">
            <v>0</v>
          </cell>
          <cell r="H858">
            <v>0</v>
          </cell>
          <cell r="I858">
            <v>0</v>
          </cell>
          <cell r="J858">
            <v>0</v>
          </cell>
          <cell r="K858">
            <v>9</v>
          </cell>
          <cell r="L858">
            <v>0</v>
          </cell>
          <cell r="M858">
            <v>0</v>
          </cell>
        </row>
        <row r="859">
          <cell r="C859">
            <v>0</v>
          </cell>
          <cell r="D859">
            <v>0</v>
          </cell>
          <cell r="E859">
            <v>0</v>
          </cell>
          <cell r="F859">
            <v>0</v>
          </cell>
          <cell r="G859">
            <v>0</v>
          </cell>
          <cell r="H859">
            <v>0</v>
          </cell>
          <cell r="I859">
            <v>0</v>
          </cell>
          <cell r="J859">
            <v>0</v>
          </cell>
          <cell r="K859">
            <v>9</v>
          </cell>
          <cell r="L859">
            <v>0</v>
          </cell>
          <cell r="M859">
            <v>0</v>
          </cell>
        </row>
        <row r="860">
          <cell r="C860">
            <v>0</v>
          </cell>
          <cell r="D860">
            <v>0</v>
          </cell>
          <cell r="E860">
            <v>0</v>
          </cell>
          <cell r="F860">
            <v>0</v>
          </cell>
          <cell r="G860">
            <v>0</v>
          </cell>
          <cell r="H860">
            <v>0</v>
          </cell>
          <cell r="I860">
            <v>0</v>
          </cell>
          <cell r="J860">
            <v>0</v>
          </cell>
          <cell r="K860">
            <v>9</v>
          </cell>
          <cell r="L860">
            <v>0</v>
          </cell>
          <cell r="M860">
            <v>0</v>
          </cell>
        </row>
        <row r="861">
          <cell r="C861">
            <v>0</v>
          </cell>
          <cell r="D861">
            <v>0</v>
          </cell>
          <cell r="E861">
            <v>0</v>
          </cell>
          <cell r="F861">
            <v>0</v>
          </cell>
          <cell r="G861">
            <v>0</v>
          </cell>
          <cell r="H861">
            <v>0</v>
          </cell>
          <cell r="I861">
            <v>0</v>
          </cell>
          <cell r="J861">
            <v>0</v>
          </cell>
          <cell r="K861">
            <v>9</v>
          </cell>
          <cell r="L861">
            <v>0</v>
          </cell>
          <cell r="M861">
            <v>0</v>
          </cell>
        </row>
        <row r="862">
          <cell r="C862">
            <v>0</v>
          </cell>
          <cell r="D862">
            <v>0</v>
          </cell>
          <cell r="E862">
            <v>0</v>
          </cell>
          <cell r="F862">
            <v>0</v>
          </cell>
          <cell r="G862">
            <v>0</v>
          </cell>
          <cell r="H862">
            <v>0</v>
          </cell>
          <cell r="I862">
            <v>0</v>
          </cell>
          <cell r="J862">
            <v>0</v>
          </cell>
          <cell r="K862">
            <v>9</v>
          </cell>
          <cell r="L862">
            <v>0</v>
          </cell>
          <cell r="M862">
            <v>0</v>
          </cell>
        </row>
        <row r="863">
          <cell r="C863">
            <v>0</v>
          </cell>
          <cell r="D863">
            <v>0</v>
          </cell>
          <cell r="E863">
            <v>0</v>
          </cell>
          <cell r="F863">
            <v>0</v>
          </cell>
          <cell r="G863">
            <v>0</v>
          </cell>
          <cell r="H863">
            <v>0</v>
          </cell>
          <cell r="I863">
            <v>0</v>
          </cell>
          <cell r="J863">
            <v>0</v>
          </cell>
          <cell r="K863">
            <v>9</v>
          </cell>
          <cell r="L863">
            <v>0</v>
          </cell>
          <cell r="M863">
            <v>0</v>
          </cell>
        </row>
        <row r="864">
          <cell r="C864">
            <v>0</v>
          </cell>
          <cell r="D864">
            <v>0</v>
          </cell>
          <cell r="E864">
            <v>0</v>
          </cell>
          <cell r="F864">
            <v>0</v>
          </cell>
          <cell r="G864">
            <v>0</v>
          </cell>
          <cell r="H864">
            <v>0</v>
          </cell>
          <cell r="I864">
            <v>0</v>
          </cell>
          <cell r="J864">
            <v>0</v>
          </cell>
          <cell r="K864">
            <v>9</v>
          </cell>
          <cell r="L864">
            <v>0</v>
          </cell>
          <cell r="M864">
            <v>0</v>
          </cell>
        </row>
        <row r="865">
          <cell r="C865">
            <v>0</v>
          </cell>
          <cell r="D865">
            <v>0</v>
          </cell>
          <cell r="E865">
            <v>0</v>
          </cell>
          <cell r="F865">
            <v>0</v>
          </cell>
          <cell r="G865">
            <v>0</v>
          </cell>
          <cell r="H865">
            <v>0</v>
          </cell>
          <cell r="I865">
            <v>0</v>
          </cell>
          <cell r="J865">
            <v>0</v>
          </cell>
          <cell r="K865">
            <v>9</v>
          </cell>
          <cell r="L865">
            <v>0</v>
          </cell>
          <cell r="M865">
            <v>0</v>
          </cell>
        </row>
        <row r="866">
          <cell r="C866">
            <v>0</v>
          </cell>
          <cell r="D866">
            <v>0</v>
          </cell>
          <cell r="E866">
            <v>0</v>
          </cell>
          <cell r="F866">
            <v>0</v>
          </cell>
          <cell r="G866">
            <v>0</v>
          </cell>
          <cell r="H866">
            <v>0</v>
          </cell>
          <cell r="I866">
            <v>0</v>
          </cell>
          <cell r="J866">
            <v>0</v>
          </cell>
          <cell r="K866">
            <v>9</v>
          </cell>
          <cell r="L866">
            <v>0</v>
          </cell>
          <cell r="M866">
            <v>0</v>
          </cell>
        </row>
        <row r="867">
          <cell r="C867">
            <v>0</v>
          </cell>
          <cell r="D867">
            <v>0</v>
          </cell>
          <cell r="E867">
            <v>0</v>
          </cell>
          <cell r="F867">
            <v>0</v>
          </cell>
          <cell r="G867">
            <v>0</v>
          </cell>
          <cell r="H867">
            <v>0</v>
          </cell>
          <cell r="I867">
            <v>0</v>
          </cell>
          <cell r="J867">
            <v>0</v>
          </cell>
          <cell r="K867">
            <v>9</v>
          </cell>
          <cell r="L867">
            <v>0</v>
          </cell>
          <cell r="M867">
            <v>0</v>
          </cell>
        </row>
        <row r="868">
          <cell r="C868">
            <v>0</v>
          </cell>
          <cell r="D868">
            <v>0</v>
          </cell>
          <cell r="E868">
            <v>0</v>
          </cell>
          <cell r="F868">
            <v>0</v>
          </cell>
          <cell r="G868">
            <v>0</v>
          </cell>
          <cell r="H868">
            <v>0</v>
          </cell>
          <cell r="I868">
            <v>0</v>
          </cell>
          <cell r="J868">
            <v>0</v>
          </cell>
          <cell r="K868">
            <v>9</v>
          </cell>
          <cell r="L868">
            <v>0</v>
          </cell>
          <cell r="M868">
            <v>0</v>
          </cell>
        </row>
        <row r="869">
          <cell r="C869">
            <v>0</v>
          </cell>
          <cell r="D869">
            <v>0</v>
          </cell>
          <cell r="E869">
            <v>0</v>
          </cell>
          <cell r="F869">
            <v>0</v>
          </cell>
          <cell r="G869">
            <v>0</v>
          </cell>
          <cell r="H869">
            <v>0</v>
          </cell>
          <cell r="I869">
            <v>0</v>
          </cell>
          <cell r="J869">
            <v>0</v>
          </cell>
          <cell r="K869">
            <v>9</v>
          </cell>
          <cell r="L869">
            <v>0</v>
          </cell>
          <cell r="M869">
            <v>0</v>
          </cell>
        </row>
        <row r="870">
          <cell r="C870">
            <v>0</v>
          </cell>
          <cell r="D870">
            <v>0</v>
          </cell>
          <cell r="E870">
            <v>0</v>
          </cell>
          <cell r="F870">
            <v>0</v>
          </cell>
          <cell r="G870">
            <v>0</v>
          </cell>
          <cell r="H870">
            <v>0</v>
          </cell>
          <cell r="I870">
            <v>0</v>
          </cell>
          <cell r="J870">
            <v>0</v>
          </cell>
          <cell r="K870">
            <v>9</v>
          </cell>
          <cell r="L870">
            <v>0</v>
          </cell>
          <cell r="M870">
            <v>0</v>
          </cell>
        </row>
        <row r="871">
          <cell r="C871">
            <v>0</v>
          </cell>
          <cell r="D871">
            <v>0</v>
          </cell>
          <cell r="E871">
            <v>0</v>
          </cell>
          <cell r="F871">
            <v>0</v>
          </cell>
          <cell r="G871">
            <v>0</v>
          </cell>
          <cell r="H871">
            <v>0</v>
          </cell>
          <cell r="I871">
            <v>0</v>
          </cell>
          <cell r="J871">
            <v>0</v>
          </cell>
          <cell r="K871">
            <v>9</v>
          </cell>
          <cell r="L871">
            <v>0</v>
          </cell>
          <cell r="M871">
            <v>0</v>
          </cell>
        </row>
        <row r="872">
          <cell r="C872">
            <v>0</v>
          </cell>
          <cell r="D872">
            <v>0</v>
          </cell>
          <cell r="E872">
            <v>0</v>
          </cell>
          <cell r="F872">
            <v>0</v>
          </cell>
          <cell r="G872">
            <v>0</v>
          </cell>
          <cell r="H872">
            <v>0</v>
          </cell>
          <cell r="I872">
            <v>0</v>
          </cell>
          <cell r="J872">
            <v>0</v>
          </cell>
          <cell r="K872">
            <v>9</v>
          </cell>
          <cell r="L872">
            <v>0</v>
          </cell>
          <cell r="M872">
            <v>0</v>
          </cell>
        </row>
        <row r="873">
          <cell r="C873">
            <v>0</v>
          </cell>
          <cell r="D873">
            <v>0</v>
          </cell>
          <cell r="E873">
            <v>0</v>
          </cell>
          <cell r="F873">
            <v>0</v>
          </cell>
          <cell r="G873">
            <v>0</v>
          </cell>
          <cell r="H873">
            <v>0</v>
          </cell>
          <cell r="I873">
            <v>0</v>
          </cell>
          <cell r="J873">
            <v>0</v>
          </cell>
          <cell r="K873">
            <v>9</v>
          </cell>
          <cell r="L873">
            <v>0</v>
          </cell>
          <cell r="M873">
            <v>0</v>
          </cell>
        </row>
        <row r="874">
          <cell r="C874">
            <v>0</v>
          </cell>
          <cell r="D874">
            <v>0</v>
          </cell>
          <cell r="E874">
            <v>0</v>
          </cell>
          <cell r="F874">
            <v>0</v>
          </cell>
          <cell r="G874">
            <v>0</v>
          </cell>
          <cell r="H874">
            <v>0</v>
          </cell>
          <cell r="I874">
            <v>0</v>
          </cell>
          <cell r="J874">
            <v>0</v>
          </cell>
          <cell r="K874">
            <v>9</v>
          </cell>
          <cell r="L874">
            <v>0</v>
          </cell>
          <cell r="M874">
            <v>0</v>
          </cell>
        </row>
        <row r="875">
          <cell r="C875">
            <v>0</v>
          </cell>
          <cell r="D875">
            <v>0</v>
          </cell>
          <cell r="E875">
            <v>0</v>
          </cell>
          <cell r="F875">
            <v>0</v>
          </cell>
          <cell r="G875">
            <v>0</v>
          </cell>
          <cell r="H875">
            <v>0</v>
          </cell>
          <cell r="I875">
            <v>0</v>
          </cell>
          <cell r="J875">
            <v>0</v>
          </cell>
          <cell r="K875">
            <v>9</v>
          </cell>
          <cell r="L875">
            <v>0</v>
          </cell>
          <cell r="M875">
            <v>0</v>
          </cell>
        </row>
        <row r="876">
          <cell r="C876">
            <v>0</v>
          </cell>
          <cell r="D876">
            <v>0</v>
          </cell>
          <cell r="E876">
            <v>0</v>
          </cell>
          <cell r="F876">
            <v>0</v>
          </cell>
          <cell r="G876">
            <v>0</v>
          </cell>
          <cell r="H876">
            <v>0</v>
          </cell>
          <cell r="I876">
            <v>0</v>
          </cell>
          <cell r="J876">
            <v>0</v>
          </cell>
          <cell r="K876">
            <v>9</v>
          </cell>
          <cell r="L876">
            <v>0</v>
          </cell>
          <cell r="M876">
            <v>0</v>
          </cell>
        </row>
        <row r="877">
          <cell r="C877">
            <v>0</v>
          </cell>
          <cell r="D877">
            <v>0</v>
          </cell>
          <cell r="E877">
            <v>0</v>
          </cell>
          <cell r="F877">
            <v>0</v>
          </cell>
          <cell r="G877">
            <v>0</v>
          </cell>
          <cell r="H877">
            <v>0</v>
          </cell>
          <cell r="I877">
            <v>0</v>
          </cell>
          <cell r="J877">
            <v>0</v>
          </cell>
          <cell r="K877">
            <v>9</v>
          </cell>
          <cell r="L877">
            <v>0</v>
          </cell>
          <cell r="M877">
            <v>0</v>
          </cell>
        </row>
        <row r="878">
          <cell r="C878">
            <v>0</v>
          </cell>
          <cell r="D878">
            <v>0</v>
          </cell>
          <cell r="E878">
            <v>0</v>
          </cell>
          <cell r="F878">
            <v>0</v>
          </cell>
          <cell r="G878">
            <v>0</v>
          </cell>
          <cell r="H878">
            <v>0</v>
          </cell>
          <cell r="I878">
            <v>0</v>
          </cell>
          <cell r="J878">
            <v>0</v>
          </cell>
          <cell r="K878">
            <v>9</v>
          </cell>
          <cell r="L878">
            <v>0</v>
          </cell>
          <cell r="M878">
            <v>0</v>
          </cell>
        </row>
        <row r="879">
          <cell r="C879">
            <v>0</v>
          </cell>
          <cell r="D879">
            <v>0</v>
          </cell>
          <cell r="E879">
            <v>0</v>
          </cell>
          <cell r="F879">
            <v>0</v>
          </cell>
          <cell r="G879">
            <v>0</v>
          </cell>
          <cell r="H879">
            <v>0</v>
          </cell>
          <cell r="I879">
            <v>0</v>
          </cell>
          <cell r="J879">
            <v>0</v>
          </cell>
          <cell r="K879">
            <v>9</v>
          </cell>
          <cell r="L879">
            <v>0</v>
          </cell>
          <cell r="M879">
            <v>0</v>
          </cell>
        </row>
        <row r="880">
          <cell r="C880">
            <v>0</v>
          </cell>
          <cell r="D880">
            <v>0</v>
          </cell>
          <cell r="E880">
            <v>0</v>
          </cell>
          <cell r="F880">
            <v>0</v>
          </cell>
          <cell r="G880">
            <v>0</v>
          </cell>
          <cell r="H880">
            <v>0</v>
          </cell>
          <cell r="I880">
            <v>0</v>
          </cell>
          <cell r="J880">
            <v>0</v>
          </cell>
          <cell r="K880">
            <v>9</v>
          </cell>
          <cell r="L880">
            <v>0</v>
          </cell>
          <cell r="M880">
            <v>0</v>
          </cell>
        </row>
        <row r="881">
          <cell r="C881">
            <v>0</v>
          </cell>
          <cell r="D881">
            <v>0</v>
          </cell>
          <cell r="E881">
            <v>0</v>
          </cell>
          <cell r="F881">
            <v>0</v>
          </cell>
          <cell r="G881">
            <v>0</v>
          </cell>
          <cell r="H881">
            <v>0</v>
          </cell>
          <cell r="I881">
            <v>0</v>
          </cell>
          <cell r="J881">
            <v>0</v>
          </cell>
          <cell r="K881">
            <v>9</v>
          </cell>
          <cell r="L881">
            <v>0</v>
          </cell>
          <cell r="M881">
            <v>0</v>
          </cell>
        </row>
        <row r="882">
          <cell r="C882">
            <v>0</v>
          </cell>
          <cell r="D882">
            <v>0</v>
          </cell>
          <cell r="E882">
            <v>0</v>
          </cell>
          <cell r="F882">
            <v>0</v>
          </cell>
          <cell r="G882">
            <v>0</v>
          </cell>
          <cell r="H882">
            <v>0</v>
          </cell>
          <cell r="I882">
            <v>0</v>
          </cell>
          <cell r="J882">
            <v>0</v>
          </cell>
          <cell r="K882">
            <v>9</v>
          </cell>
          <cell r="L882">
            <v>0</v>
          </cell>
          <cell r="M882">
            <v>0</v>
          </cell>
        </row>
        <row r="883">
          <cell r="C883">
            <v>0</v>
          </cell>
          <cell r="D883">
            <v>0</v>
          </cell>
          <cell r="E883">
            <v>0</v>
          </cell>
          <cell r="F883">
            <v>0</v>
          </cell>
          <cell r="G883">
            <v>0</v>
          </cell>
          <cell r="H883">
            <v>0</v>
          </cell>
          <cell r="I883">
            <v>0</v>
          </cell>
          <cell r="J883">
            <v>0</v>
          </cell>
          <cell r="K883">
            <v>9</v>
          </cell>
          <cell r="L883">
            <v>0</v>
          </cell>
          <cell r="M883">
            <v>0</v>
          </cell>
        </row>
        <row r="884">
          <cell r="C884">
            <v>0</v>
          </cell>
          <cell r="D884">
            <v>0</v>
          </cell>
          <cell r="E884">
            <v>0</v>
          </cell>
          <cell r="F884">
            <v>0</v>
          </cell>
          <cell r="G884">
            <v>0</v>
          </cell>
          <cell r="H884">
            <v>0</v>
          </cell>
          <cell r="I884">
            <v>0</v>
          </cell>
          <cell r="J884">
            <v>0</v>
          </cell>
          <cell r="K884">
            <v>9</v>
          </cell>
          <cell r="L884">
            <v>0</v>
          </cell>
          <cell r="M884">
            <v>0</v>
          </cell>
        </row>
        <row r="885">
          <cell r="C885">
            <v>0</v>
          </cell>
          <cell r="D885">
            <v>0</v>
          </cell>
          <cell r="E885">
            <v>0</v>
          </cell>
          <cell r="F885">
            <v>0</v>
          </cell>
          <cell r="G885">
            <v>0</v>
          </cell>
          <cell r="H885">
            <v>0</v>
          </cell>
          <cell r="I885">
            <v>0</v>
          </cell>
          <cell r="J885">
            <v>0</v>
          </cell>
          <cell r="K885">
            <v>9</v>
          </cell>
          <cell r="L885">
            <v>0</v>
          </cell>
          <cell r="M885">
            <v>0</v>
          </cell>
        </row>
        <row r="886">
          <cell r="C886">
            <v>0</v>
          </cell>
          <cell r="D886">
            <v>0</v>
          </cell>
          <cell r="E886">
            <v>0</v>
          </cell>
          <cell r="F886">
            <v>0</v>
          </cell>
          <cell r="G886">
            <v>0</v>
          </cell>
          <cell r="H886">
            <v>0</v>
          </cell>
          <cell r="I886">
            <v>0</v>
          </cell>
          <cell r="J886">
            <v>0</v>
          </cell>
          <cell r="K886">
            <v>9</v>
          </cell>
          <cell r="L886">
            <v>0</v>
          </cell>
          <cell r="M886">
            <v>0</v>
          </cell>
        </row>
        <row r="887">
          <cell r="C887">
            <v>0</v>
          </cell>
          <cell r="D887">
            <v>0</v>
          </cell>
          <cell r="E887">
            <v>0</v>
          </cell>
          <cell r="F887">
            <v>0</v>
          </cell>
          <cell r="G887">
            <v>0</v>
          </cell>
          <cell r="H887">
            <v>0</v>
          </cell>
          <cell r="I887">
            <v>0</v>
          </cell>
          <cell r="J887">
            <v>0</v>
          </cell>
          <cell r="K887">
            <v>9</v>
          </cell>
          <cell r="L887">
            <v>0</v>
          </cell>
          <cell r="M887">
            <v>0</v>
          </cell>
        </row>
        <row r="888">
          <cell r="C888">
            <v>0</v>
          </cell>
          <cell r="D888">
            <v>0</v>
          </cell>
          <cell r="E888">
            <v>0</v>
          </cell>
          <cell r="F888">
            <v>0</v>
          </cell>
          <cell r="G888">
            <v>0</v>
          </cell>
          <cell r="H888">
            <v>0</v>
          </cell>
          <cell r="I888">
            <v>0</v>
          </cell>
          <cell r="J888">
            <v>0</v>
          </cell>
          <cell r="K888">
            <v>9</v>
          </cell>
          <cell r="L888">
            <v>0</v>
          </cell>
          <cell r="M888">
            <v>0</v>
          </cell>
        </row>
        <row r="889">
          <cell r="C889">
            <v>0</v>
          </cell>
          <cell r="D889">
            <v>0</v>
          </cell>
          <cell r="E889">
            <v>0</v>
          </cell>
          <cell r="F889">
            <v>0</v>
          </cell>
          <cell r="G889">
            <v>0</v>
          </cell>
          <cell r="H889">
            <v>0</v>
          </cell>
          <cell r="I889">
            <v>0</v>
          </cell>
          <cell r="J889">
            <v>0</v>
          </cell>
          <cell r="K889">
            <v>9</v>
          </cell>
          <cell r="L889">
            <v>0</v>
          </cell>
          <cell r="M889">
            <v>0</v>
          </cell>
        </row>
        <row r="890">
          <cell r="C890">
            <v>0</v>
          </cell>
          <cell r="D890">
            <v>0</v>
          </cell>
          <cell r="E890">
            <v>0</v>
          </cell>
          <cell r="F890">
            <v>0</v>
          </cell>
          <cell r="G890">
            <v>0</v>
          </cell>
          <cell r="H890">
            <v>0</v>
          </cell>
          <cell r="I890">
            <v>0</v>
          </cell>
          <cell r="J890">
            <v>0</v>
          </cell>
          <cell r="K890">
            <v>9</v>
          </cell>
          <cell r="L890">
            <v>0</v>
          </cell>
          <cell r="M890">
            <v>0</v>
          </cell>
        </row>
        <row r="891">
          <cell r="C891">
            <v>0</v>
          </cell>
          <cell r="D891">
            <v>0</v>
          </cell>
          <cell r="E891">
            <v>0</v>
          </cell>
          <cell r="F891">
            <v>0</v>
          </cell>
          <cell r="G891">
            <v>0</v>
          </cell>
          <cell r="H891">
            <v>0</v>
          </cell>
          <cell r="I891">
            <v>0</v>
          </cell>
          <cell r="J891">
            <v>0</v>
          </cell>
          <cell r="K891">
            <v>9</v>
          </cell>
          <cell r="L891">
            <v>0</v>
          </cell>
          <cell r="M891">
            <v>0</v>
          </cell>
        </row>
        <row r="892">
          <cell r="C892">
            <v>0</v>
          </cell>
          <cell r="D892">
            <v>0</v>
          </cell>
          <cell r="E892">
            <v>0</v>
          </cell>
          <cell r="F892">
            <v>0</v>
          </cell>
          <cell r="G892">
            <v>0</v>
          </cell>
          <cell r="H892">
            <v>0</v>
          </cell>
          <cell r="I892">
            <v>0</v>
          </cell>
          <cell r="J892">
            <v>0</v>
          </cell>
          <cell r="K892">
            <v>9</v>
          </cell>
          <cell r="L892">
            <v>0</v>
          </cell>
          <cell r="M892">
            <v>0</v>
          </cell>
        </row>
        <row r="893">
          <cell r="C893">
            <v>0</v>
          </cell>
          <cell r="D893">
            <v>0</v>
          </cell>
          <cell r="E893">
            <v>0</v>
          </cell>
          <cell r="F893">
            <v>0</v>
          </cell>
          <cell r="G893">
            <v>0</v>
          </cell>
          <cell r="H893">
            <v>0</v>
          </cell>
          <cell r="I893">
            <v>0</v>
          </cell>
          <cell r="J893">
            <v>0</v>
          </cell>
          <cell r="K893">
            <v>9</v>
          </cell>
          <cell r="L893">
            <v>0</v>
          </cell>
          <cell r="M893">
            <v>0</v>
          </cell>
        </row>
        <row r="894">
          <cell r="C894">
            <v>0</v>
          </cell>
          <cell r="D894">
            <v>0</v>
          </cell>
          <cell r="E894">
            <v>0</v>
          </cell>
          <cell r="F894">
            <v>0</v>
          </cell>
          <cell r="G894">
            <v>0</v>
          </cell>
          <cell r="H894">
            <v>0</v>
          </cell>
          <cell r="I894">
            <v>0</v>
          </cell>
          <cell r="J894">
            <v>0</v>
          </cell>
          <cell r="K894">
            <v>9</v>
          </cell>
          <cell r="L894">
            <v>0</v>
          </cell>
          <cell r="M894">
            <v>0</v>
          </cell>
        </row>
        <row r="895">
          <cell r="C895">
            <v>0</v>
          </cell>
          <cell r="D895">
            <v>0</v>
          </cell>
          <cell r="E895">
            <v>0</v>
          </cell>
          <cell r="F895">
            <v>0</v>
          </cell>
          <cell r="G895">
            <v>0</v>
          </cell>
          <cell r="H895">
            <v>0</v>
          </cell>
          <cell r="I895">
            <v>0</v>
          </cell>
          <cell r="J895">
            <v>0</v>
          </cell>
          <cell r="K895">
            <v>9</v>
          </cell>
          <cell r="L895">
            <v>0</v>
          </cell>
          <cell r="M895">
            <v>0</v>
          </cell>
        </row>
        <row r="896">
          <cell r="C896">
            <v>0</v>
          </cell>
          <cell r="D896">
            <v>0</v>
          </cell>
          <cell r="E896">
            <v>0</v>
          </cell>
          <cell r="F896">
            <v>0</v>
          </cell>
          <cell r="G896">
            <v>0</v>
          </cell>
          <cell r="H896">
            <v>0</v>
          </cell>
          <cell r="I896">
            <v>0</v>
          </cell>
          <cell r="J896">
            <v>0</v>
          </cell>
          <cell r="K896">
            <v>9</v>
          </cell>
          <cell r="L896">
            <v>0</v>
          </cell>
          <cell r="M896">
            <v>0</v>
          </cell>
        </row>
        <row r="897">
          <cell r="C897">
            <v>0</v>
          </cell>
          <cell r="D897">
            <v>0</v>
          </cell>
          <cell r="E897">
            <v>0</v>
          </cell>
          <cell r="F897">
            <v>0</v>
          </cell>
          <cell r="G897">
            <v>0</v>
          </cell>
          <cell r="H897">
            <v>0</v>
          </cell>
          <cell r="I897">
            <v>0</v>
          </cell>
          <cell r="J897">
            <v>0</v>
          </cell>
          <cell r="K897">
            <v>9</v>
          </cell>
          <cell r="L897">
            <v>0</v>
          </cell>
          <cell r="M897">
            <v>0</v>
          </cell>
        </row>
        <row r="898">
          <cell r="C898">
            <v>0</v>
          </cell>
          <cell r="D898">
            <v>0</v>
          </cell>
          <cell r="E898">
            <v>0</v>
          </cell>
          <cell r="F898">
            <v>0</v>
          </cell>
          <cell r="G898">
            <v>0</v>
          </cell>
          <cell r="H898">
            <v>0</v>
          </cell>
          <cell r="I898">
            <v>0</v>
          </cell>
          <cell r="J898">
            <v>0</v>
          </cell>
          <cell r="K898">
            <v>9</v>
          </cell>
          <cell r="L898">
            <v>0</v>
          </cell>
          <cell r="M898">
            <v>0</v>
          </cell>
        </row>
        <row r="899">
          <cell r="C899">
            <v>0</v>
          </cell>
          <cell r="D899">
            <v>0</v>
          </cell>
          <cell r="E899">
            <v>0</v>
          </cell>
          <cell r="F899">
            <v>0</v>
          </cell>
          <cell r="G899">
            <v>0</v>
          </cell>
          <cell r="H899">
            <v>0</v>
          </cell>
          <cell r="I899">
            <v>0</v>
          </cell>
          <cell r="J899">
            <v>0</v>
          </cell>
          <cell r="K899">
            <v>9</v>
          </cell>
          <cell r="L899">
            <v>0</v>
          </cell>
          <cell r="M899">
            <v>0</v>
          </cell>
        </row>
        <row r="900">
          <cell r="C900">
            <v>0</v>
          </cell>
          <cell r="D900">
            <v>0</v>
          </cell>
          <cell r="E900">
            <v>0</v>
          </cell>
          <cell r="F900">
            <v>0</v>
          </cell>
          <cell r="G900">
            <v>0</v>
          </cell>
          <cell r="H900">
            <v>0</v>
          </cell>
          <cell r="I900">
            <v>0</v>
          </cell>
          <cell r="J900">
            <v>0</v>
          </cell>
          <cell r="K900">
            <v>9</v>
          </cell>
          <cell r="L900">
            <v>0</v>
          </cell>
          <cell r="M900">
            <v>0</v>
          </cell>
        </row>
        <row r="901">
          <cell r="C901">
            <v>0</v>
          </cell>
          <cell r="D901">
            <v>0</v>
          </cell>
          <cell r="E901">
            <v>0</v>
          </cell>
          <cell r="F901">
            <v>0</v>
          </cell>
          <cell r="G901">
            <v>0</v>
          </cell>
          <cell r="H901">
            <v>0</v>
          </cell>
          <cell r="I901">
            <v>0</v>
          </cell>
          <cell r="J901">
            <v>0</v>
          </cell>
          <cell r="K901">
            <v>9</v>
          </cell>
          <cell r="L901">
            <v>0</v>
          </cell>
          <cell r="M901">
            <v>0</v>
          </cell>
        </row>
        <row r="902">
          <cell r="C902">
            <v>0</v>
          </cell>
          <cell r="D902">
            <v>0</v>
          </cell>
          <cell r="E902">
            <v>0</v>
          </cell>
          <cell r="F902">
            <v>0</v>
          </cell>
          <cell r="G902">
            <v>0</v>
          </cell>
          <cell r="H902">
            <v>0</v>
          </cell>
          <cell r="I902">
            <v>0</v>
          </cell>
          <cell r="J902">
            <v>0</v>
          </cell>
          <cell r="K902">
            <v>9</v>
          </cell>
          <cell r="L902">
            <v>0</v>
          </cell>
          <cell r="M902">
            <v>0</v>
          </cell>
        </row>
        <row r="903">
          <cell r="C903">
            <v>0</v>
          </cell>
          <cell r="D903">
            <v>0</v>
          </cell>
          <cell r="E903">
            <v>0</v>
          </cell>
          <cell r="F903">
            <v>0</v>
          </cell>
          <cell r="G903">
            <v>0</v>
          </cell>
          <cell r="H903">
            <v>0</v>
          </cell>
          <cell r="I903">
            <v>0</v>
          </cell>
          <cell r="J903">
            <v>0</v>
          </cell>
          <cell r="K903">
            <v>9</v>
          </cell>
          <cell r="L903">
            <v>0</v>
          </cell>
          <cell r="M903">
            <v>0</v>
          </cell>
        </row>
        <row r="904">
          <cell r="C904">
            <v>0</v>
          </cell>
          <cell r="D904">
            <v>0</v>
          </cell>
          <cell r="E904">
            <v>0</v>
          </cell>
          <cell r="F904">
            <v>0</v>
          </cell>
          <cell r="G904">
            <v>0</v>
          </cell>
          <cell r="H904">
            <v>0</v>
          </cell>
          <cell r="I904">
            <v>0</v>
          </cell>
          <cell r="J904">
            <v>0</v>
          </cell>
          <cell r="K904">
            <v>9</v>
          </cell>
          <cell r="L904">
            <v>0</v>
          </cell>
          <cell r="M904">
            <v>0</v>
          </cell>
        </row>
        <row r="905">
          <cell r="C905">
            <v>0</v>
          </cell>
          <cell r="D905">
            <v>0</v>
          </cell>
          <cell r="E905">
            <v>0</v>
          </cell>
          <cell r="F905">
            <v>0</v>
          </cell>
          <cell r="G905">
            <v>0</v>
          </cell>
          <cell r="H905">
            <v>0</v>
          </cell>
          <cell r="I905">
            <v>0</v>
          </cell>
          <cell r="J905">
            <v>0</v>
          </cell>
          <cell r="K905">
            <v>9</v>
          </cell>
          <cell r="L905">
            <v>0</v>
          </cell>
          <cell r="M905">
            <v>0</v>
          </cell>
        </row>
        <row r="906">
          <cell r="C906">
            <v>0</v>
          </cell>
          <cell r="D906">
            <v>0</v>
          </cell>
          <cell r="E906">
            <v>0</v>
          </cell>
          <cell r="F906">
            <v>0</v>
          </cell>
          <cell r="G906">
            <v>0</v>
          </cell>
          <cell r="H906">
            <v>0</v>
          </cell>
          <cell r="I906">
            <v>0</v>
          </cell>
          <cell r="J906">
            <v>0</v>
          </cell>
          <cell r="K906">
            <v>9</v>
          </cell>
          <cell r="L906">
            <v>0</v>
          </cell>
          <cell r="M906">
            <v>0</v>
          </cell>
        </row>
        <row r="907">
          <cell r="C907">
            <v>0</v>
          </cell>
          <cell r="D907">
            <v>0</v>
          </cell>
          <cell r="E907">
            <v>0</v>
          </cell>
          <cell r="F907">
            <v>0</v>
          </cell>
          <cell r="G907">
            <v>0</v>
          </cell>
          <cell r="H907">
            <v>0</v>
          </cell>
          <cell r="I907">
            <v>0</v>
          </cell>
          <cell r="J907">
            <v>0</v>
          </cell>
          <cell r="K907">
            <v>9</v>
          </cell>
          <cell r="L907">
            <v>0</v>
          </cell>
          <cell r="M907">
            <v>0</v>
          </cell>
        </row>
        <row r="908">
          <cell r="C908">
            <v>0</v>
          </cell>
          <cell r="D908">
            <v>0</v>
          </cell>
          <cell r="E908">
            <v>0</v>
          </cell>
          <cell r="F908">
            <v>0</v>
          </cell>
          <cell r="G908">
            <v>0</v>
          </cell>
          <cell r="H908">
            <v>0</v>
          </cell>
          <cell r="I908">
            <v>0</v>
          </cell>
          <cell r="J908">
            <v>0</v>
          </cell>
          <cell r="K908">
            <v>9</v>
          </cell>
          <cell r="L908">
            <v>0</v>
          </cell>
          <cell r="M908">
            <v>0</v>
          </cell>
        </row>
        <row r="909">
          <cell r="C909">
            <v>0</v>
          </cell>
          <cell r="D909">
            <v>0</v>
          </cell>
          <cell r="E909">
            <v>0</v>
          </cell>
          <cell r="F909">
            <v>0</v>
          </cell>
          <cell r="G909">
            <v>0</v>
          </cell>
          <cell r="H909">
            <v>0</v>
          </cell>
          <cell r="I909">
            <v>0</v>
          </cell>
          <cell r="J909">
            <v>0</v>
          </cell>
          <cell r="K909">
            <v>9</v>
          </cell>
          <cell r="L909">
            <v>0</v>
          </cell>
          <cell r="M909">
            <v>0</v>
          </cell>
        </row>
        <row r="910">
          <cell r="C910">
            <v>0</v>
          </cell>
          <cell r="D910">
            <v>0</v>
          </cell>
          <cell r="E910">
            <v>0</v>
          </cell>
          <cell r="F910">
            <v>0</v>
          </cell>
          <cell r="G910">
            <v>0</v>
          </cell>
          <cell r="H910">
            <v>0</v>
          </cell>
          <cell r="I910">
            <v>0</v>
          </cell>
          <cell r="J910">
            <v>0</v>
          </cell>
          <cell r="K910">
            <v>9</v>
          </cell>
          <cell r="L910">
            <v>0</v>
          </cell>
          <cell r="M910">
            <v>0</v>
          </cell>
        </row>
        <row r="911">
          <cell r="C911">
            <v>0</v>
          </cell>
          <cell r="D911">
            <v>0</v>
          </cell>
          <cell r="E911">
            <v>0</v>
          </cell>
          <cell r="F911">
            <v>0</v>
          </cell>
          <cell r="G911">
            <v>0</v>
          </cell>
          <cell r="H911">
            <v>0</v>
          </cell>
          <cell r="I911">
            <v>0</v>
          </cell>
          <cell r="J911">
            <v>0</v>
          </cell>
          <cell r="K911">
            <v>9</v>
          </cell>
          <cell r="L911">
            <v>0</v>
          </cell>
          <cell r="M911">
            <v>0</v>
          </cell>
        </row>
        <row r="912">
          <cell r="C912">
            <v>0</v>
          </cell>
          <cell r="D912">
            <v>0</v>
          </cell>
          <cell r="E912">
            <v>0</v>
          </cell>
          <cell r="F912">
            <v>0</v>
          </cell>
          <cell r="G912">
            <v>0</v>
          </cell>
          <cell r="H912">
            <v>0</v>
          </cell>
          <cell r="I912">
            <v>0</v>
          </cell>
          <cell r="J912">
            <v>0</v>
          </cell>
          <cell r="K912">
            <v>9</v>
          </cell>
          <cell r="L912">
            <v>0</v>
          </cell>
          <cell r="M912">
            <v>0</v>
          </cell>
        </row>
        <row r="913">
          <cell r="C913">
            <v>0</v>
          </cell>
          <cell r="D913">
            <v>0</v>
          </cell>
          <cell r="E913">
            <v>0</v>
          </cell>
          <cell r="F913">
            <v>0</v>
          </cell>
          <cell r="G913">
            <v>0</v>
          </cell>
          <cell r="H913">
            <v>0</v>
          </cell>
          <cell r="I913">
            <v>0</v>
          </cell>
          <cell r="J913">
            <v>0</v>
          </cell>
          <cell r="K913">
            <v>9</v>
          </cell>
          <cell r="L913">
            <v>0</v>
          </cell>
          <cell r="M913">
            <v>0</v>
          </cell>
        </row>
        <row r="914">
          <cell r="C914">
            <v>0</v>
          </cell>
          <cell r="D914">
            <v>0</v>
          </cell>
          <cell r="E914">
            <v>0</v>
          </cell>
          <cell r="F914">
            <v>0</v>
          </cell>
          <cell r="G914">
            <v>0</v>
          </cell>
          <cell r="H914">
            <v>0</v>
          </cell>
          <cell r="I914">
            <v>0</v>
          </cell>
          <cell r="J914">
            <v>0</v>
          </cell>
          <cell r="K914">
            <v>9</v>
          </cell>
          <cell r="L914">
            <v>0</v>
          </cell>
          <cell r="M914">
            <v>0</v>
          </cell>
        </row>
        <row r="915">
          <cell r="C915">
            <v>0</v>
          </cell>
          <cell r="D915">
            <v>0</v>
          </cell>
          <cell r="E915">
            <v>0</v>
          </cell>
          <cell r="F915">
            <v>0</v>
          </cell>
          <cell r="G915">
            <v>0</v>
          </cell>
          <cell r="H915">
            <v>0</v>
          </cell>
          <cell r="I915">
            <v>0</v>
          </cell>
          <cell r="J915">
            <v>0</v>
          </cell>
          <cell r="K915">
            <v>9</v>
          </cell>
          <cell r="L915">
            <v>0</v>
          </cell>
          <cell r="M915">
            <v>0</v>
          </cell>
        </row>
        <row r="916">
          <cell r="C916">
            <v>0</v>
          </cell>
          <cell r="D916">
            <v>0</v>
          </cell>
          <cell r="E916">
            <v>0</v>
          </cell>
          <cell r="F916">
            <v>0</v>
          </cell>
          <cell r="G916">
            <v>0</v>
          </cell>
          <cell r="H916">
            <v>0</v>
          </cell>
          <cell r="I916">
            <v>0</v>
          </cell>
          <cell r="J916">
            <v>0</v>
          </cell>
          <cell r="K916">
            <v>9</v>
          </cell>
          <cell r="L916">
            <v>0</v>
          </cell>
          <cell r="M916">
            <v>0</v>
          </cell>
        </row>
        <row r="917">
          <cell r="C917">
            <v>0</v>
          </cell>
          <cell r="D917">
            <v>0</v>
          </cell>
          <cell r="E917">
            <v>0</v>
          </cell>
          <cell r="F917">
            <v>0</v>
          </cell>
          <cell r="G917">
            <v>0</v>
          </cell>
          <cell r="H917">
            <v>0</v>
          </cell>
          <cell r="I917">
            <v>0</v>
          </cell>
          <cell r="J917">
            <v>0</v>
          </cell>
          <cell r="K917">
            <v>9</v>
          </cell>
          <cell r="L917">
            <v>0</v>
          </cell>
          <cell r="M917">
            <v>0</v>
          </cell>
        </row>
        <row r="918">
          <cell r="C918">
            <v>0</v>
          </cell>
          <cell r="D918">
            <v>0</v>
          </cell>
          <cell r="E918">
            <v>0</v>
          </cell>
          <cell r="F918">
            <v>0</v>
          </cell>
          <cell r="G918">
            <v>0</v>
          </cell>
          <cell r="H918">
            <v>0</v>
          </cell>
          <cell r="I918">
            <v>0</v>
          </cell>
          <cell r="J918">
            <v>0</v>
          </cell>
          <cell r="K918">
            <v>9</v>
          </cell>
          <cell r="L918">
            <v>0</v>
          </cell>
          <cell r="M918">
            <v>0</v>
          </cell>
        </row>
        <row r="919">
          <cell r="C919">
            <v>0</v>
          </cell>
          <cell r="D919">
            <v>0</v>
          </cell>
          <cell r="E919">
            <v>0</v>
          </cell>
          <cell r="F919">
            <v>0</v>
          </cell>
          <cell r="G919">
            <v>0</v>
          </cell>
          <cell r="H919">
            <v>0</v>
          </cell>
          <cell r="I919">
            <v>0</v>
          </cell>
          <cell r="J919">
            <v>0</v>
          </cell>
          <cell r="K919">
            <v>9</v>
          </cell>
          <cell r="L919">
            <v>0</v>
          </cell>
          <cell r="M919">
            <v>0</v>
          </cell>
        </row>
        <row r="920">
          <cell r="C920">
            <v>0</v>
          </cell>
          <cell r="D920">
            <v>0</v>
          </cell>
          <cell r="E920">
            <v>0</v>
          </cell>
          <cell r="F920">
            <v>0</v>
          </cell>
          <cell r="G920">
            <v>0</v>
          </cell>
          <cell r="H920">
            <v>0</v>
          </cell>
          <cell r="I920">
            <v>0</v>
          </cell>
          <cell r="J920">
            <v>0</v>
          </cell>
          <cell r="K920">
            <v>9</v>
          </cell>
          <cell r="L920">
            <v>0</v>
          </cell>
          <cell r="M920">
            <v>0</v>
          </cell>
        </row>
        <row r="921">
          <cell r="C921">
            <v>0</v>
          </cell>
          <cell r="D921">
            <v>0</v>
          </cell>
          <cell r="E921">
            <v>0</v>
          </cell>
          <cell r="F921">
            <v>0</v>
          </cell>
          <cell r="G921">
            <v>0</v>
          </cell>
          <cell r="H921">
            <v>0</v>
          </cell>
          <cell r="I921">
            <v>0</v>
          </cell>
          <cell r="J921">
            <v>0</v>
          </cell>
          <cell r="K921">
            <v>9</v>
          </cell>
          <cell r="L921">
            <v>0</v>
          </cell>
          <cell r="M921">
            <v>0</v>
          </cell>
        </row>
        <row r="922">
          <cell r="C922">
            <v>0</v>
          </cell>
          <cell r="D922">
            <v>0</v>
          </cell>
          <cell r="E922">
            <v>0</v>
          </cell>
          <cell r="F922">
            <v>0</v>
          </cell>
          <cell r="G922">
            <v>0</v>
          </cell>
          <cell r="H922">
            <v>0</v>
          </cell>
          <cell r="I922">
            <v>0</v>
          </cell>
          <cell r="J922">
            <v>0</v>
          </cell>
          <cell r="K922">
            <v>9</v>
          </cell>
          <cell r="L922">
            <v>0</v>
          </cell>
          <cell r="M922">
            <v>0</v>
          </cell>
        </row>
        <row r="923">
          <cell r="C923">
            <v>0</v>
          </cell>
          <cell r="D923">
            <v>0</v>
          </cell>
          <cell r="E923">
            <v>0</v>
          </cell>
          <cell r="F923">
            <v>0</v>
          </cell>
          <cell r="G923">
            <v>0</v>
          </cell>
          <cell r="H923">
            <v>0</v>
          </cell>
          <cell r="I923">
            <v>0</v>
          </cell>
          <cell r="J923">
            <v>0</v>
          </cell>
          <cell r="K923">
            <v>9</v>
          </cell>
          <cell r="L923">
            <v>0</v>
          </cell>
          <cell r="M923">
            <v>0</v>
          </cell>
        </row>
        <row r="924">
          <cell r="C924">
            <v>0</v>
          </cell>
          <cell r="D924">
            <v>0</v>
          </cell>
          <cell r="E924">
            <v>0</v>
          </cell>
          <cell r="F924">
            <v>0</v>
          </cell>
          <cell r="G924">
            <v>0</v>
          </cell>
          <cell r="H924">
            <v>0</v>
          </cell>
          <cell r="I924">
            <v>0</v>
          </cell>
          <cell r="J924">
            <v>0</v>
          </cell>
          <cell r="K924">
            <v>9</v>
          </cell>
          <cell r="L924">
            <v>0</v>
          </cell>
          <cell r="M924">
            <v>0</v>
          </cell>
        </row>
        <row r="925">
          <cell r="C925">
            <v>0</v>
          </cell>
          <cell r="D925">
            <v>0</v>
          </cell>
          <cell r="E925">
            <v>0</v>
          </cell>
          <cell r="F925">
            <v>0</v>
          </cell>
          <cell r="G925">
            <v>0</v>
          </cell>
          <cell r="H925">
            <v>0</v>
          </cell>
          <cell r="I925">
            <v>0</v>
          </cell>
          <cell r="J925">
            <v>0</v>
          </cell>
          <cell r="K925">
            <v>9</v>
          </cell>
          <cell r="L925">
            <v>0</v>
          </cell>
          <cell r="M925">
            <v>0</v>
          </cell>
        </row>
        <row r="926">
          <cell r="C926">
            <v>0</v>
          </cell>
          <cell r="D926">
            <v>0</v>
          </cell>
          <cell r="E926">
            <v>0</v>
          </cell>
          <cell r="F926">
            <v>0</v>
          </cell>
          <cell r="G926">
            <v>0</v>
          </cell>
          <cell r="H926">
            <v>0</v>
          </cell>
          <cell r="I926">
            <v>0</v>
          </cell>
          <cell r="J926">
            <v>0</v>
          </cell>
          <cell r="K926">
            <v>9</v>
          </cell>
          <cell r="L926">
            <v>0</v>
          </cell>
          <cell r="M926">
            <v>0</v>
          </cell>
        </row>
        <row r="927">
          <cell r="C927">
            <v>0</v>
          </cell>
          <cell r="D927">
            <v>0</v>
          </cell>
          <cell r="E927">
            <v>0</v>
          </cell>
          <cell r="F927">
            <v>0</v>
          </cell>
          <cell r="G927">
            <v>0</v>
          </cell>
          <cell r="H927">
            <v>0</v>
          </cell>
          <cell r="I927">
            <v>0</v>
          </cell>
          <cell r="J927">
            <v>0</v>
          </cell>
          <cell r="K927">
            <v>9</v>
          </cell>
          <cell r="L927">
            <v>0</v>
          </cell>
          <cell r="M927">
            <v>0</v>
          </cell>
        </row>
        <row r="928">
          <cell r="C928">
            <v>0</v>
          </cell>
          <cell r="D928">
            <v>0</v>
          </cell>
          <cell r="E928">
            <v>0</v>
          </cell>
          <cell r="F928">
            <v>0</v>
          </cell>
          <cell r="G928">
            <v>0</v>
          </cell>
          <cell r="H928">
            <v>0</v>
          </cell>
          <cell r="I928">
            <v>0</v>
          </cell>
          <cell r="J928">
            <v>0</v>
          </cell>
          <cell r="K928">
            <v>9</v>
          </cell>
          <cell r="L928">
            <v>0</v>
          </cell>
          <cell r="M928">
            <v>0</v>
          </cell>
        </row>
        <row r="929">
          <cell r="C929">
            <v>0</v>
          </cell>
          <cell r="D929">
            <v>0</v>
          </cell>
          <cell r="E929">
            <v>0</v>
          </cell>
          <cell r="F929">
            <v>0</v>
          </cell>
          <cell r="G929">
            <v>0</v>
          </cell>
          <cell r="H929">
            <v>0</v>
          </cell>
          <cell r="I929">
            <v>0</v>
          </cell>
          <cell r="J929">
            <v>0</v>
          </cell>
          <cell r="K929">
            <v>9</v>
          </cell>
          <cell r="L929">
            <v>0</v>
          </cell>
          <cell r="M929">
            <v>0</v>
          </cell>
        </row>
        <row r="930">
          <cell r="C930">
            <v>0</v>
          </cell>
          <cell r="D930">
            <v>0</v>
          </cell>
          <cell r="E930">
            <v>0</v>
          </cell>
          <cell r="F930">
            <v>0</v>
          </cell>
          <cell r="G930">
            <v>0</v>
          </cell>
          <cell r="H930">
            <v>0</v>
          </cell>
          <cell r="I930">
            <v>0</v>
          </cell>
          <cell r="J930">
            <v>0</v>
          </cell>
          <cell r="K930">
            <v>9</v>
          </cell>
          <cell r="L930">
            <v>0</v>
          </cell>
          <cell r="M930">
            <v>0</v>
          </cell>
        </row>
        <row r="931">
          <cell r="C931">
            <v>0</v>
          </cell>
          <cell r="D931">
            <v>0</v>
          </cell>
          <cell r="E931">
            <v>0</v>
          </cell>
          <cell r="F931">
            <v>0</v>
          </cell>
          <cell r="G931">
            <v>0</v>
          </cell>
          <cell r="H931">
            <v>0</v>
          </cell>
          <cell r="I931">
            <v>0</v>
          </cell>
          <cell r="J931">
            <v>0</v>
          </cell>
          <cell r="K931">
            <v>9</v>
          </cell>
          <cell r="L931">
            <v>0</v>
          </cell>
          <cell r="M931">
            <v>0</v>
          </cell>
        </row>
        <row r="932">
          <cell r="C932">
            <v>0</v>
          </cell>
          <cell r="D932">
            <v>0</v>
          </cell>
          <cell r="E932">
            <v>0</v>
          </cell>
          <cell r="F932">
            <v>0</v>
          </cell>
          <cell r="G932">
            <v>0</v>
          </cell>
          <cell r="H932">
            <v>0</v>
          </cell>
          <cell r="I932">
            <v>0</v>
          </cell>
          <cell r="J932">
            <v>0</v>
          </cell>
          <cell r="K932">
            <v>9</v>
          </cell>
          <cell r="L932">
            <v>0</v>
          </cell>
          <cell r="M932">
            <v>0</v>
          </cell>
        </row>
        <row r="933">
          <cell r="C933">
            <v>0</v>
          </cell>
          <cell r="D933">
            <v>0</v>
          </cell>
          <cell r="E933">
            <v>0</v>
          </cell>
          <cell r="F933">
            <v>0</v>
          </cell>
          <cell r="G933">
            <v>0</v>
          </cell>
          <cell r="H933">
            <v>0</v>
          </cell>
          <cell r="I933">
            <v>0</v>
          </cell>
          <cell r="J933">
            <v>0</v>
          </cell>
          <cell r="K933">
            <v>9</v>
          </cell>
          <cell r="L933">
            <v>0</v>
          </cell>
          <cell r="M933">
            <v>0</v>
          </cell>
        </row>
        <row r="934">
          <cell r="C934">
            <v>0</v>
          </cell>
          <cell r="D934">
            <v>0</v>
          </cell>
          <cell r="E934">
            <v>0</v>
          </cell>
          <cell r="F934">
            <v>0</v>
          </cell>
          <cell r="G934">
            <v>0</v>
          </cell>
          <cell r="H934">
            <v>0</v>
          </cell>
          <cell r="I934">
            <v>0</v>
          </cell>
          <cell r="J934">
            <v>0</v>
          </cell>
          <cell r="K934">
            <v>9</v>
          </cell>
          <cell r="L934">
            <v>0</v>
          </cell>
          <cell r="M934">
            <v>0</v>
          </cell>
        </row>
        <row r="935">
          <cell r="C935">
            <v>0</v>
          </cell>
          <cell r="D935">
            <v>0</v>
          </cell>
          <cell r="E935">
            <v>0</v>
          </cell>
          <cell r="F935">
            <v>0</v>
          </cell>
          <cell r="G935">
            <v>0</v>
          </cell>
          <cell r="H935">
            <v>0</v>
          </cell>
          <cell r="I935">
            <v>0</v>
          </cell>
          <cell r="J935">
            <v>0</v>
          </cell>
          <cell r="K935">
            <v>9</v>
          </cell>
          <cell r="L935">
            <v>0</v>
          </cell>
          <cell r="M935">
            <v>0</v>
          </cell>
        </row>
        <row r="936">
          <cell r="C936">
            <v>0</v>
          </cell>
          <cell r="D936">
            <v>0</v>
          </cell>
          <cell r="E936">
            <v>0</v>
          </cell>
          <cell r="F936">
            <v>0</v>
          </cell>
          <cell r="G936">
            <v>0</v>
          </cell>
          <cell r="H936">
            <v>0</v>
          </cell>
          <cell r="I936">
            <v>0</v>
          </cell>
          <cell r="J936">
            <v>0</v>
          </cell>
          <cell r="K936">
            <v>9</v>
          </cell>
          <cell r="L936">
            <v>0</v>
          </cell>
          <cell r="M936">
            <v>0</v>
          </cell>
        </row>
        <row r="937">
          <cell r="C937">
            <v>0</v>
          </cell>
          <cell r="D937">
            <v>0</v>
          </cell>
          <cell r="E937">
            <v>0</v>
          </cell>
          <cell r="F937">
            <v>0</v>
          </cell>
          <cell r="G937">
            <v>0</v>
          </cell>
          <cell r="H937">
            <v>0</v>
          </cell>
          <cell r="I937">
            <v>0</v>
          </cell>
          <cell r="J937">
            <v>0</v>
          </cell>
          <cell r="K937">
            <v>9</v>
          </cell>
          <cell r="L937">
            <v>0</v>
          </cell>
          <cell r="M937">
            <v>0</v>
          </cell>
        </row>
        <row r="938">
          <cell r="C938">
            <v>0</v>
          </cell>
          <cell r="D938">
            <v>0</v>
          </cell>
          <cell r="E938">
            <v>0</v>
          </cell>
          <cell r="F938">
            <v>0</v>
          </cell>
          <cell r="G938">
            <v>0</v>
          </cell>
          <cell r="H938">
            <v>0</v>
          </cell>
          <cell r="I938">
            <v>0</v>
          </cell>
          <cell r="J938">
            <v>0</v>
          </cell>
          <cell r="K938">
            <v>9</v>
          </cell>
          <cell r="L938">
            <v>0</v>
          </cell>
          <cell r="M938">
            <v>0</v>
          </cell>
        </row>
        <row r="939">
          <cell r="C939">
            <v>0</v>
          </cell>
          <cell r="D939">
            <v>0</v>
          </cell>
          <cell r="E939">
            <v>0</v>
          </cell>
          <cell r="F939">
            <v>0</v>
          </cell>
          <cell r="G939">
            <v>0</v>
          </cell>
          <cell r="H939">
            <v>0</v>
          </cell>
          <cell r="I939">
            <v>0</v>
          </cell>
          <cell r="J939">
            <v>0</v>
          </cell>
          <cell r="K939">
            <v>9</v>
          </cell>
          <cell r="L939">
            <v>0</v>
          </cell>
          <cell r="M939">
            <v>0</v>
          </cell>
        </row>
        <row r="940">
          <cell r="C940">
            <v>0</v>
          </cell>
          <cell r="D940">
            <v>0</v>
          </cell>
          <cell r="E940">
            <v>0</v>
          </cell>
          <cell r="F940">
            <v>0</v>
          </cell>
          <cell r="G940">
            <v>0</v>
          </cell>
          <cell r="H940">
            <v>0</v>
          </cell>
          <cell r="I940">
            <v>0</v>
          </cell>
          <cell r="J940">
            <v>0</v>
          </cell>
          <cell r="K940">
            <v>9</v>
          </cell>
          <cell r="L940">
            <v>0</v>
          </cell>
          <cell r="M940">
            <v>0</v>
          </cell>
        </row>
        <row r="941">
          <cell r="C941">
            <v>0</v>
          </cell>
          <cell r="D941">
            <v>0</v>
          </cell>
          <cell r="E941">
            <v>0</v>
          </cell>
          <cell r="F941">
            <v>0</v>
          </cell>
          <cell r="G941">
            <v>0</v>
          </cell>
          <cell r="H941">
            <v>0</v>
          </cell>
          <cell r="I941">
            <v>0</v>
          </cell>
          <cell r="J941">
            <v>0</v>
          </cell>
          <cell r="K941">
            <v>9</v>
          </cell>
          <cell r="L941">
            <v>0</v>
          </cell>
          <cell r="M941">
            <v>0</v>
          </cell>
        </row>
        <row r="942">
          <cell r="C942">
            <v>0</v>
          </cell>
          <cell r="D942">
            <v>0</v>
          </cell>
          <cell r="E942">
            <v>0</v>
          </cell>
          <cell r="F942">
            <v>0</v>
          </cell>
          <cell r="G942">
            <v>0</v>
          </cell>
          <cell r="H942">
            <v>0</v>
          </cell>
          <cell r="I942">
            <v>0</v>
          </cell>
          <cell r="J942">
            <v>0</v>
          </cell>
          <cell r="K942">
            <v>9</v>
          </cell>
          <cell r="L942">
            <v>0</v>
          </cell>
          <cell r="M942">
            <v>0</v>
          </cell>
        </row>
        <row r="943">
          <cell r="C943">
            <v>0</v>
          </cell>
          <cell r="D943">
            <v>0</v>
          </cell>
          <cell r="E943">
            <v>0</v>
          </cell>
          <cell r="F943">
            <v>0</v>
          </cell>
          <cell r="G943">
            <v>0</v>
          </cell>
          <cell r="H943">
            <v>0</v>
          </cell>
          <cell r="I943">
            <v>0</v>
          </cell>
          <cell r="J943">
            <v>0</v>
          </cell>
          <cell r="K943">
            <v>9</v>
          </cell>
          <cell r="L943">
            <v>0</v>
          </cell>
          <cell r="M943">
            <v>0</v>
          </cell>
        </row>
        <row r="944">
          <cell r="C944">
            <v>0</v>
          </cell>
          <cell r="D944">
            <v>0</v>
          </cell>
          <cell r="E944">
            <v>0</v>
          </cell>
          <cell r="F944">
            <v>0</v>
          </cell>
          <cell r="G944">
            <v>0</v>
          </cell>
          <cell r="H944">
            <v>0</v>
          </cell>
          <cell r="I944">
            <v>0</v>
          </cell>
          <cell r="J944">
            <v>0</v>
          </cell>
          <cell r="K944">
            <v>9</v>
          </cell>
          <cell r="L944">
            <v>0</v>
          </cell>
          <cell r="M944">
            <v>0</v>
          </cell>
        </row>
        <row r="945">
          <cell r="C945">
            <v>0</v>
          </cell>
          <cell r="D945">
            <v>0</v>
          </cell>
          <cell r="E945">
            <v>0</v>
          </cell>
          <cell r="F945">
            <v>0</v>
          </cell>
          <cell r="G945">
            <v>0</v>
          </cell>
          <cell r="H945">
            <v>0</v>
          </cell>
          <cell r="I945">
            <v>0</v>
          </cell>
          <cell r="J945">
            <v>0</v>
          </cell>
          <cell r="K945">
            <v>9</v>
          </cell>
          <cell r="L945">
            <v>0</v>
          </cell>
          <cell r="M945">
            <v>0</v>
          </cell>
        </row>
        <row r="946">
          <cell r="C946">
            <v>0</v>
          </cell>
          <cell r="D946">
            <v>0</v>
          </cell>
          <cell r="E946">
            <v>0</v>
          </cell>
          <cell r="F946">
            <v>0</v>
          </cell>
          <cell r="G946">
            <v>0</v>
          </cell>
          <cell r="H946">
            <v>0</v>
          </cell>
          <cell r="I946">
            <v>0</v>
          </cell>
          <cell r="J946">
            <v>0</v>
          </cell>
          <cell r="K946">
            <v>9</v>
          </cell>
          <cell r="L946">
            <v>0</v>
          </cell>
          <cell r="M946">
            <v>0</v>
          </cell>
        </row>
        <row r="947">
          <cell r="C947">
            <v>0</v>
          </cell>
          <cell r="D947">
            <v>0</v>
          </cell>
          <cell r="E947">
            <v>0</v>
          </cell>
          <cell r="F947">
            <v>0</v>
          </cell>
          <cell r="G947">
            <v>0</v>
          </cell>
          <cell r="H947">
            <v>0</v>
          </cell>
          <cell r="I947">
            <v>0</v>
          </cell>
          <cell r="J947">
            <v>0</v>
          </cell>
          <cell r="K947">
            <v>9</v>
          </cell>
          <cell r="L947">
            <v>0</v>
          </cell>
          <cell r="M947">
            <v>0</v>
          </cell>
        </row>
        <row r="948">
          <cell r="C948">
            <v>0</v>
          </cell>
          <cell r="D948">
            <v>0</v>
          </cell>
          <cell r="E948">
            <v>0</v>
          </cell>
          <cell r="F948">
            <v>0</v>
          </cell>
          <cell r="G948">
            <v>0</v>
          </cell>
          <cell r="H948">
            <v>0</v>
          </cell>
          <cell r="I948">
            <v>0</v>
          </cell>
          <cell r="J948">
            <v>0</v>
          </cell>
          <cell r="K948">
            <v>9</v>
          </cell>
          <cell r="L948">
            <v>0</v>
          </cell>
          <cell r="M948">
            <v>0</v>
          </cell>
        </row>
        <row r="949">
          <cell r="C949">
            <v>0</v>
          </cell>
          <cell r="D949">
            <v>0</v>
          </cell>
          <cell r="E949">
            <v>0</v>
          </cell>
          <cell r="F949">
            <v>0</v>
          </cell>
          <cell r="G949">
            <v>0</v>
          </cell>
          <cell r="H949">
            <v>0</v>
          </cell>
          <cell r="I949">
            <v>0</v>
          </cell>
          <cell r="J949">
            <v>0</v>
          </cell>
          <cell r="K949">
            <v>9</v>
          </cell>
          <cell r="L949">
            <v>0</v>
          </cell>
          <cell r="M949">
            <v>0</v>
          </cell>
        </row>
        <row r="950">
          <cell r="C950">
            <v>0</v>
          </cell>
          <cell r="D950">
            <v>0</v>
          </cell>
          <cell r="E950">
            <v>0</v>
          </cell>
          <cell r="F950">
            <v>0</v>
          </cell>
          <cell r="G950">
            <v>0</v>
          </cell>
          <cell r="H950">
            <v>0</v>
          </cell>
          <cell r="I950">
            <v>0</v>
          </cell>
          <cell r="J950">
            <v>0</v>
          </cell>
          <cell r="K950">
            <v>9</v>
          </cell>
          <cell r="L950">
            <v>0</v>
          </cell>
          <cell r="M950">
            <v>0</v>
          </cell>
        </row>
        <row r="951">
          <cell r="C951">
            <v>0</v>
          </cell>
          <cell r="D951">
            <v>0</v>
          </cell>
          <cell r="E951">
            <v>0</v>
          </cell>
          <cell r="F951">
            <v>0</v>
          </cell>
          <cell r="G951">
            <v>0</v>
          </cell>
          <cell r="H951">
            <v>0</v>
          </cell>
          <cell r="I951">
            <v>0</v>
          </cell>
          <cell r="J951">
            <v>0</v>
          </cell>
          <cell r="K951">
            <v>9</v>
          </cell>
          <cell r="L951">
            <v>0</v>
          </cell>
          <cell r="M951">
            <v>0</v>
          </cell>
        </row>
        <row r="952">
          <cell r="C952">
            <v>0</v>
          </cell>
          <cell r="D952">
            <v>0</v>
          </cell>
          <cell r="E952">
            <v>0</v>
          </cell>
          <cell r="F952">
            <v>0</v>
          </cell>
          <cell r="G952">
            <v>0</v>
          </cell>
          <cell r="H952">
            <v>0</v>
          </cell>
          <cell r="I952">
            <v>0</v>
          </cell>
          <cell r="J952">
            <v>0</v>
          </cell>
          <cell r="K952">
            <v>9</v>
          </cell>
          <cell r="L952">
            <v>0</v>
          </cell>
          <cell r="M952">
            <v>0</v>
          </cell>
        </row>
        <row r="953">
          <cell r="C953">
            <v>0</v>
          </cell>
          <cell r="D953">
            <v>0</v>
          </cell>
          <cell r="E953">
            <v>0</v>
          </cell>
          <cell r="F953">
            <v>0</v>
          </cell>
          <cell r="G953">
            <v>0</v>
          </cell>
          <cell r="H953">
            <v>0</v>
          </cell>
          <cell r="I953">
            <v>0</v>
          </cell>
          <cell r="J953">
            <v>0</v>
          </cell>
          <cell r="K953">
            <v>9</v>
          </cell>
          <cell r="L953">
            <v>0</v>
          </cell>
          <cell r="M953">
            <v>0</v>
          </cell>
        </row>
        <row r="954">
          <cell r="C954">
            <v>0</v>
          </cell>
          <cell r="D954">
            <v>0</v>
          </cell>
          <cell r="E954">
            <v>0</v>
          </cell>
          <cell r="F954">
            <v>0</v>
          </cell>
          <cell r="G954">
            <v>0</v>
          </cell>
          <cell r="H954">
            <v>0</v>
          </cell>
          <cell r="I954">
            <v>0</v>
          </cell>
          <cell r="J954">
            <v>0</v>
          </cell>
          <cell r="K954">
            <v>9</v>
          </cell>
          <cell r="L954">
            <v>0</v>
          </cell>
          <cell r="M954">
            <v>0</v>
          </cell>
        </row>
        <row r="955">
          <cell r="C955">
            <v>0</v>
          </cell>
          <cell r="D955">
            <v>0</v>
          </cell>
          <cell r="E955">
            <v>0</v>
          </cell>
          <cell r="F955">
            <v>0</v>
          </cell>
          <cell r="G955">
            <v>0</v>
          </cell>
          <cell r="H955">
            <v>0</v>
          </cell>
          <cell r="I955">
            <v>0</v>
          </cell>
          <cell r="J955">
            <v>0</v>
          </cell>
          <cell r="K955">
            <v>9</v>
          </cell>
          <cell r="L955">
            <v>0</v>
          </cell>
          <cell r="M955">
            <v>0</v>
          </cell>
        </row>
        <row r="956">
          <cell r="C956">
            <v>0</v>
          </cell>
          <cell r="D956">
            <v>0</v>
          </cell>
          <cell r="E956">
            <v>0</v>
          </cell>
          <cell r="F956">
            <v>0</v>
          </cell>
          <cell r="G956">
            <v>0</v>
          </cell>
          <cell r="H956">
            <v>0</v>
          </cell>
          <cell r="I956">
            <v>0</v>
          </cell>
          <cell r="J956">
            <v>0</v>
          </cell>
          <cell r="K956">
            <v>9</v>
          </cell>
          <cell r="L956">
            <v>0</v>
          </cell>
          <cell r="M956">
            <v>0</v>
          </cell>
        </row>
        <row r="957">
          <cell r="C957">
            <v>0</v>
          </cell>
          <cell r="D957">
            <v>0</v>
          </cell>
          <cell r="E957">
            <v>0</v>
          </cell>
          <cell r="F957">
            <v>0</v>
          </cell>
          <cell r="G957">
            <v>0</v>
          </cell>
          <cell r="H957">
            <v>0</v>
          </cell>
          <cell r="I957">
            <v>0</v>
          </cell>
          <cell r="J957">
            <v>0</v>
          </cell>
          <cell r="K957">
            <v>9</v>
          </cell>
          <cell r="L957">
            <v>0</v>
          </cell>
          <cell r="M957">
            <v>0</v>
          </cell>
        </row>
        <row r="958">
          <cell r="C958">
            <v>0</v>
          </cell>
          <cell r="D958">
            <v>0</v>
          </cell>
          <cell r="E958">
            <v>0</v>
          </cell>
          <cell r="F958">
            <v>0</v>
          </cell>
          <cell r="G958">
            <v>0</v>
          </cell>
          <cell r="H958">
            <v>0</v>
          </cell>
          <cell r="I958">
            <v>0</v>
          </cell>
          <cell r="J958">
            <v>0</v>
          </cell>
          <cell r="K958">
            <v>9</v>
          </cell>
          <cell r="L958">
            <v>0</v>
          </cell>
          <cell r="M958">
            <v>0</v>
          </cell>
        </row>
        <row r="959">
          <cell r="C959">
            <v>0</v>
          </cell>
          <cell r="D959">
            <v>0</v>
          </cell>
          <cell r="E959">
            <v>0</v>
          </cell>
          <cell r="F959">
            <v>0</v>
          </cell>
          <cell r="G959">
            <v>0</v>
          </cell>
          <cell r="H959">
            <v>0</v>
          </cell>
          <cell r="I959">
            <v>0</v>
          </cell>
          <cell r="J959">
            <v>0</v>
          </cell>
          <cell r="K959">
            <v>9</v>
          </cell>
          <cell r="L959">
            <v>0</v>
          </cell>
          <cell r="M959">
            <v>0</v>
          </cell>
        </row>
        <row r="960">
          <cell r="C960">
            <v>0</v>
          </cell>
          <cell r="D960">
            <v>0</v>
          </cell>
          <cell r="E960">
            <v>0</v>
          </cell>
          <cell r="F960">
            <v>0</v>
          </cell>
          <cell r="G960">
            <v>0</v>
          </cell>
          <cell r="H960">
            <v>0</v>
          </cell>
          <cell r="I960">
            <v>0</v>
          </cell>
          <cell r="J960">
            <v>0</v>
          </cell>
          <cell r="K960">
            <v>9</v>
          </cell>
          <cell r="L960">
            <v>0</v>
          </cell>
          <cell r="M960">
            <v>0</v>
          </cell>
        </row>
        <row r="961">
          <cell r="C961">
            <v>0</v>
          </cell>
          <cell r="D961">
            <v>0</v>
          </cell>
          <cell r="E961">
            <v>0</v>
          </cell>
          <cell r="F961">
            <v>0</v>
          </cell>
          <cell r="G961">
            <v>0</v>
          </cell>
          <cell r="H961">
            <v>0</v>
          </cell>
          <cell r="I961">
            <v>0</v>
          </cell>
          <cell r="J961">
            <v>0</v>
          </cell>
          <cell r="K961">
            <v>9</v>
          </cell>
          <cell r="L961">
            <v>0</v>
          </cell>
          <cell r="M961">
            <v>0</v>
          </cell>
        </row>
        <row r="962">
          <cell r="C962">
            <v>0</v>
          </cell>
          <cell r="D962">
            <v>0</v>
          </cell>
          <cell r="E962">
            <v>0</v>
          </cell>
          <cell r="F962">
            <v>0</v>
          </cell>
          <cell r="G962">
            <v>0</v>
          </cell>
          <cell r="H962">
            <v>0</v>
          </cell>
          <cell r="I962">
            <v>0</v>
          </cell>
          <cell r="J962">
            <v>0</v>
          </cell>
          <cell r="K962">
            <v>9</v>
          </cell>
          <cell r="L962">
            <v>0</v>
          </cell>
          <cell r="M962">
            <v>0</v>
          </cell>
        </row>
        <row r="963">
          <cell r="C963">
            <v>0</v>
          </cell>
          <cell r="D963">
            <v>0</v>
          </cell>
          <cell r="E963">
            <v>0</v>
          </cell>
          <cell r="F963">
            <v>0</v>
          </cell>
          <cell r="G963">
            <v>0</v>
          </cell>
          <cell r="H963">
            <v>0</v>
          </cell>
          <cell r="I963">
            <v>0</v>
          </cell>
          <cell r="J963">
            <v>0</v>
          </cell>
          <cell r="K963">
            <v>9</v>
          </cell>
          <cell r="L963">
            <v>0</v>
          </cell>
          <cell r="M963">
            <v>0</v>
          </cell>
        </row>
        <row r="964">
          <cell r="C964">
            <v>0</v>
          </cell>
          <cell r="D964">
            <v>0</v>
          </cell>
          <cell r="E964">
            <v>0</v>
          </cell>
          <cell r="F964">
            <v>0</v>
          </cell>
          <cell r="G964">
            <v>0</v>
          </cell>
          <cell r="H964">
            <v>0</v>
          </cell>
          <cell r="I964">
            <v>0</v>
          </cell>
          <cell r="J964">
            <v>0</v>
          </cell>
          <cell r="K964">
            <v>9</v>
          </cell>
          <cell r="L964">
            <v>0</v>
          </cell>
          <cell r="M964">
            <v>0</v>
          </cell>
        </row>
        <row r="965">
          <cell r="C965">
            <v>0</v>
          </cell>
          <cell r="D965">
            <v>0</v>
          </cell>
          <cell r="E965">
            <v>0</v>
          </cell>
          <cell r="F965">
            <v>0</v>
          </cell>
          <cell r="G965">
            <v>0</v>
          </cell>
          <cell r="H965">
            <v>0</v>
          </cell>
          <cell r="I965">
            <v>0</v>
          </cell>
          <cell r="J965">
            <v>0</v>
          </cell>
          <cell r="K965">
            <v>9</v>
          </cell>
          <cell r="L965">
            <v>0</v>
          </cell>
          <cell r="M965">
            <v>0</v>
          </cell>
        </row>
        <row r="966">
          <cell r="C966">
            <v>0</v>
          </cell>
          <cell r="D966">
            <v>0</v>
          </cell>
          <cell r="E966">
            <v>0</v>
          </cell>
          <cell r="F966">
            <v>0</v>
          </cell>
          <cell r="G966">
            <v>0</v>
          </cell>
          <cell r="H966">
            <v>0</v>
          </cell>
          <cell r="I966">
            <v>0</v>
          </cell>
          <cell r="J966">
            <v>0</v>
          </cell>
          <cell r="K966">
            <v>9</v>
          </cell>
          <cell r="L966">
            <v>0</v>
          </cell>
          <cell r="M966">
            <v>0</v>
          </cell>
        </row>
        <row r="967">
          <cell r="C967">
            <v>0</v>
          </cell>
          <cell r="D967">
            <v>0</v>
          </cell>
          <cell r="E967">
            <v>0</v>
          </cell>
          <cell r="F967">
            <v>0</v>
          </cell>
          <cell r="G967">
            <v>0</v>
          </cell>
          <cell r="H967">
            <v>0</v>
          </cell>
          <cell r="I967">
            <v>0</v>
          </cell>
          <cell r="J967">
            <v>0</v>
          </cell>
          <cell r="K967">
            <v>9</v>
          </cell>
          <cell r="L967">
            <v>0</v>
          </cell>
          <cell r="M967">
            <v>0</v>
          </cell>
        </row>
        <row r="968">
          <cell r="C968">
            <v>0</v>
          </cell>
          <cell r="D968">
            <v>0</v>
          </cell>
          <cell r="E968">
            <v>0</v>
          </cell>
          <cell r="F968">
            <v>0</v>
          </cell>
          <cell r="G968">
            <v>0</v>
          </cell>
          <cell r="H968">
            <v>0</v>
          </cell>
          <cell r="I968">
            <v>0</v>
          </cell>
          <cell r="J968">
            <v>0</v>
          </cell>
          <cell r="K968">
            <v>9</v>
          </cell>
          <cell r="L968">
            <v>0</v>
          </cell>
          <cell r="M968">
            <v>0</v>
          </cell>
        </row>
        <row r="969">
          <cell r="C969">
            <v>0</v>
          </cell>
          <cell r="D969">
            <v>0</v>
          </cell>
          <cell r="E969">
            <v>0</v>
          </cell>
          <cell r="F969">
            <v>0</v>
          </cell>
          <cell r="G969">
            <v>0</v>
          </cell>
          <cell r="H969">
            <v>0</v>
          </cell>
          <cell r="I969">
            <v>0</v>
          </cell>
          <cell r="J969">
            <v>0</v>
          </cell>
          <cell r="K969">
            <v>9</v>
          </cell>
          <cell r="L969">
            <v>0</v>
          </cell>
          <cell r="M969">
            <v>0</v>
          </cell>
        </row>
        <row r="970">
          <cell r="C970">
            <v>0</v>
          </cell>
          <cell r="D970">
            <v>0</v>
          </cell>
          <cell r="E970">
            <v>0</v>
          </cell>
          <cell r="F970">
            <v>0</v>
          </cell>
          <cell r="G970">
            <v>0</v>
          </cell>
          <cell r="H970">
            <v>0</v>
          </cell>
          <cell r="I970">
            <v>0</v>
          </cell>
          <cell r="J970">
            <v>0</v>
          </cell>
          <cell r="K970">
            <v>9</v>
          </cell>
          <cell r="L970">
            <v>0</v>
          </cell>
          <cell r="M970">
            <v>0</v>
          </cell>
        </row>
        <row r="971">
          <cell r="C971">
            <v>0</v>
          </cell>
          <cell r="D971">
            <v>0</v>
          </cell>
          <cell r="E971">
            <v>0</v>
          </cell>
          <cell r="F971">
            <v>0</v>
          </cell>
          <cell r="G971">
            <v>0</v>
          </cell>
          <cell r="H971">
            <v>0</v>
          </cell>
          <cell r="I971">
            <v>0</v>
          </cell>
          <cell r="J971">
            <v>0</v>
          </cell>
          <cell r="K971">
            <v>9</v>
          </cell>
          <cell r="L971">
            <v>0</v>
          </cell>
          <cell r="M971">
            <v>0</v>
          </cell>
        </row>
        <row r="972">
          <cell r="C972">
            <v>0</v>
          </cell>
          <cell r="D972">
            <v>0</v>
          </cell>
          <cell r="E972">
            <v>0</v>
          </cell>
          <cell r="F972">
            <v>0</v>
          </cell>
          <cell r="G972">
            <v>0</v>
          </cell>
          <cell r="H972">
            <v>0</v>
          </cell>
          <cell r="I972">
            <v>0</v>
          </cell>
          <cell r="J972">
            <v>0</v>
          </cell>
          <cell r="K972">
            <v>9</v>
          </cell>
          <cell r="L972">
            <v>0</v>
          </cell>
          <cell r="M972">
            <v>0</v>
          </cell>
        </row>
        <row r="973">
          <cell r="C973">
            <v>0</v>
          </cell>
          <cell r="D973">
            <v>0</v>
          </cell>
          <cell r="E973">
            <v>0</v>
          </cell>
          <cell r="F973">
            <v>0</v>
          </cell>
          <cell r="G973">
            <v>0</v>
          </cell>
          <cell r="H973">
            <v>0</v>
          </cell>
          <cell r="I973">
            <v>0</v>
          </cell>
          <cell r="J973">
            <v>0</v>
          </cell>
          <cell r="K973">
            <v>9</v>
          </cell>
          <cell r="L973">
            <v>0</v>
          </cell>
          <cell r="M973">
            <v>0</v>
          </cell>
        </row>
        <row r="974">
          <cell r="C974">
            <v>0</v>
          </cell>
          <cell r="D974">
            <v>0</v>
          </cell>
          <cell r="E974">
            <v>0</v>
          </cell>
          <cell r="F974">
            <v>0</v>
          </cell>
          <cell r="G974">
            <v>0</v>
          </cell>
          <cell r="H974">
            <v>0</v>
          </cell>
          <cell r="I974">
            <v>0</v>
          </cell>
          <cell r="J974">
            <v>0</v>
          </cell>
          <cell r="K974">
            <v>9</v>
          </cell>
          <cell r="L974">
            <v>0</v>
          </cell>
          <cell r="M974">
            <v>0</v>
          </cell>
        </row>
        <row r="975">
          <cell r="C975">
            <v>0</v>
          </cell>
          <cell r="D975">
            <v>0</v>
          </cell>
          <cell r="E975">
            <v>0</v>
          </cell>
          <cell r="F975">
            <v>0</v>
          </cell>
          <cell r="G975">
            <v>0</v>
          </cell>
          <cell r="H975">
            <v>0</v>
          </cell>
          <cell r="I975">
            <v>0</v>
          </cell>
          <cell r="J975">
            <v>0</v>
          </cell>
          <cell r="K975">
            <v>9</v>
          </cell>
          <cell r="L975">
            <v>0</v>
          </cell>
          <cell r="M975">
            <v>0</v>
          </cell>
        </row>
        <row r="976">
          <cell r="C976">
            <v>0</v>
          </cell>
          <cell r="D976">
            <v>0</v>
          </cell>
          <cell r="E976">
            <v>0</v>
          </cell>
          <cell r="F976">
            <v>0</v>
          </cell>
          <cell r="G976">
            <v>0</v>
          </cell>
          <cell r="H976">
            <v>0</v>
          </cell>
          <cell r="I976">
            <v>0</v>
          </cell>
          <cell r="J976">
            <v>0</v>
          </cell>
          <cell r="K976">
            <v>9</v>
          </cell>
          <cell r="L976">
            <v>0</v>
          </cell>
          <cell r="M976">
            <v>0</v>
          </cell>
        </row>
        <row r="977">
          <cell r="C977">
            <v>0</v>
          </cell>
          <cell r="D977">
            <v>0</v>
          </cell>
          <cell r="E977">
            <v>0</v>
          </cell>
          <cell r="F977">
            <v>0</v>
          </cell>
          <cell r="G977">
            <v>0</v>
          </cell>
          <cell r="H977">
            <v>0</v>
          </cell>
          <cell r="I977">
            <v>0</v>
          </cell>
          <cell r="J977">
            <v>0</v>
          </cell>
          <cell r="K977">
            <v>9</v>
          </cell>
          <cell r="L977">
            <v>0</v>
          </cell>
          <cell r="M977">
            <v>0</v>
          </cell>
        </row>
        <row r="978">
          <cell r="C978">
            <v>0</v>
          </cell>
          <cell r="D978">
            <v>0</v>
          </cell>
          <cell r="E978">
            <v>0</v>
          </cell>
          <cell r="F978">
            <v>0</v>
          </cell>
          <cell r="G978">
            <v>0</v>
          </cell>
          <cell r="H978">
            <v>0</v>
          </cell>
          <cell r="I978">
            <v>0</v>
          </cell>
          <cell r="J978">
            <v>0</v>
          </cell>
          <cell r="K978">
            <v>9</v>
          </cell>
          <cell r="L978">
            <v>0</v>
          </cell>
          <cell r="M978">
            <v>0</v>
          </cell>
        </row>
        <row r="979">
          <cell r="C979">
            <v>0</v>
          </cell>
          <cell r="D979">
            <v>0</v>
          </cell>
          <cell r="E979">
            <v>0</v>
          </cell>
          <cell r="F979">
            <v>0</v>
          </cell>
          <cell r="G979">
            <v>0</v>
          </cell>
          <cell r="H979">
            <v>0</v>
          </cell>
          <cell r="I979">
            <v>0</v>
          </cell>
          <cell r="J979">
            <v>0</v>
          </cell>
          <cell r="K979">
            <v>9</v>
          </cell>
          <cell r="L979">
            <v>0</v>
          </cell>
          <cell r="M979">
            <v>0</v>
          </cell>
        </row>
        <row r="980">
          <cell r="C980">
            <v>0</v>
          </cell>
          <cell r="D980">
            <v>0</v>
          </cell>
          <cell r="E980">
            <v>0</v>
          </cell>
          <cell r="F980">
            <v>0</v>
          </cell>
          <cell r="G980">
            <v>0</v>
          </cell>
          <cell r="H980">
            <v>0</v>
          </cell>
          <cell r="I980">
            <v>0</v>
          </cell>
          <cell r="J980">
            <v>0</v>
          </cell>
          <cell r="K980">
            <v>9</v>
          </cell>
          <cell r="L980">
            <v>0</v>
          </cell>
          <cell r="M980">
            <v>0</v>
          </cell>
        </row>
        <row r="981">
          <cell r="C981">
            <v>0</v>
          </cell>
          <cell r="D981">
            <v>0</v>
          </cell>
          <cell r="E981">
            <v>0</v>
          </cell>
          <cell r="F981">
            <v>0</v>
          </cell>
          <cell r="G981">
            <v>0</v>
          </cell>
          <cell r="H981">
            <v>0</v>
          </cell>
          <cell r="I981">
            <v>0</v>
          </cell>
          <cell r="J981">
            <v>0</v>
          </cell>
          <cell r="K981">
            <v>9</v>
          </cell>
          <cell r="L981">
            <v>0</v>
          </cell>
          <cell r="M981">
            <v>0</v>
          </cell>
        </row>
        <row r="982">
          <cell r="C982">
            <v>0</v>
          </cell>
          <cell r="D982">
            <v>0</v>
          </cell>
          <cell r="E982">
            <v>0</v>
          </cell>
          <cell r="F982">
            <v>0</v>
          </cell>
          <cell r="G982">
            <v>0</v>
          </cell>
          <cell r="H982">
            <v>0</v>
          </cell>
          <cell r="I982">
            <v>0</v>
          </cell>
          <cell r="J982">
            <v>0</v>
          </cell>
          <cell r="K982">
            <v>9</v>
          </cell>
          <cell r="L982">
            <v>0</v>
          </cell>
          <cell r="M982">
            <v>0</v>
          </cell>
        </row>
        <row r="983">
          <cell r="C983">
            <v>0</v>
          </cell>
          <cell r="D983">
            <v>0</v>
          </cell>
          <cell r="E983">
            <v>0</v>
          </cell>
          <cell r="F983">
            <v>0</v>
          </cell>
          <cell r="G983">
            <v>0</v>
          </cell>
          <cell r="H983">
            <v>0</v>
          </cell>
          <cell r="I983">
            <v>0</v>
          </cell>
          <cell r="J983">
            <v>0</v>
          </cell>
          <cell r="K983">
            <v>9</v>
          </cell>
          <cell r="L983">
            <v>0</v>
          </cell>
          <cell r="M983">
            <v>0</v>
          </cell>
        </row>
        <row r="984">
          <cell r="C984">
            <v>0</v>
          </cell>
          <cell r="D984">
            <v>0</v>
          </cell>
          <cell r="E984">
            <v>0</v>
          </cell>
          <cell r="F984">
            <v>0</v>
          </cell>
          <cell r="G984">
            <v>0</v>
          </cell>
          <cell r="H984">
            <v>0</v>
          </cell>
          <cell r="I984">
            <v>0</v>
          </cell>
          <cell r="J984">
            <v>0</v>
          </cell>
          <cell r="K984">
            <v>9</v>
          </cell>
          <cell r="L984">
            <v>0</v>
          </cell>
          <cell r="M984">
            <v>0</v>
          </cell>
        </row>
        <row r="985">
          <cell r="C985">
            <v>0</v>
          </cell>
          <cell r="D985">
            <v>0</v>
          </cell>
          <cell r="E985">
            <v>0</v>
          </cell>
          <cell r="F985">
            <v>0</v>
          </cell>
          <cell r="G985">
            <v>0</v>
          </cell>
          <cell r="H985">
            <v>0</v>
          </cell>
          <cell r="I985">
            <v>0</v>
          </cell>
          <cell r="J985">
            <v>0</v>
          </cell>
          <cell r="K985">
            <v>9</v>
          </cell>
          <cell r="L985">
            <v>0</v>
          </cell>
          <cell r="M985">
            <v>0</v>
          </cell>
        </row>
        <row r="986">
          <cell r="C986">
            <v>0</v>
          </cell>
          <cell r="D986">
            <v>0</v>
          </cell>
          <cell r="E986">
            <v>0</v>
          </cell>
          <cell r="F986">
            <v>0</v>
          </cell>
          <cell r="G986">
            <v>0</v>
          </cell>
          <cell r="H986">
            <v>0</v>
          </cell>
          <cell r="I986">
            <v>0</v>
          </cell>
          <cell r="J986">
            <v>0</v>
          </cell>
          <cell r="K986">
            <v>9</v>
          </cell>
          <cell r="L986">
            <v>0</v>
          </cell>
          <cell r="M986">
            <v>0</v>
          </cell>
        </row>
        <row r="987">
          <cell r="C987">
            <v>0</v>
          </cell>
          <cell r="D987">
            <v>0</v>
          </cell>
          <cell r="E987">
            <v>0</v>
          </cell>
          <cell r="F987">
            <v>0</v>
          </cell>
          <cell r="G987">
            <v>0</v>
          </cell>
          <cell r="H987">
            <v>0</v>
          </cell>
          <cell r="I987">
            <v>0</v>
          </cell>
          <cell r="J987">
            <v>0</v>
          </cell>
          <cell r="K987">
            <v>9</v>
          </cell>
          <cell r="L987">
            <v>0</v>
          </cell>
          <cell r="M987">
            <v>0</v>
          </cell>
        </row>
        <row r="988">
          <cell r="C988">
            <v>0</v>
          </cell>
          <cell r="D988">
            <v>0</v>
          </cell>
          <cell r="E988">
            <v>0</v>
          </cell>
          <cell r="F988">
            <v>0</v>
          </cell>
          <cell r="G988">
            <v>0</v>
          </cell>
          <cell r="H988">
            <v>0</v>
          </cell>
          <cell r="I988">
            <v>0</v>
          </cell>
          <cell r="J988">
            <v>0</v>
          </cell>
          <cell r="K988">
            <v>9</v>
          </cell>
          <cell r="L988">
            <v>0</v>
          </cell>
          <cell r="M988">
            <v>0</v>
          </cell>
        </row>
        <row r="989">
          <cell r="C989">
            <v>0</v>
          </cell>
          <cell r="D989">
            <v>0</v>
          </cell>
          <cell r="E989">
            <v>0</v>
          </cell>
          <cell r="F989">
            <v>0</v>
          </cell>
          <cell r="G989">
            <v>0</v>
          </cell>
          <cell r="H989">
            <v>0</v>
          </cell>
          <cell r="I989">
            <v>0</v>
          </cell>
          <cell r="J989">
            <v>0</v>
          </cell>
          <cell r="K989">
            <v>9</v>
          </cell>
          <cell r="L989">
            <v>0</v>
          </cell>
          <cell r="M989">
            <v>0</v>
          </cell>
        </row>
        <row r="990">
          <cell r="C990">
            <v>0</v>
          </cell>
          <cell r="D990">
            <v>0</v>
          </cell>
          <cell r="E990">
            <v>0</v>
          </cell>
          <cell r="F990">
            <v>0</v>
          </cell>
          <cell r="G990">
            <v>0</v>
          </cell>
          <cell r="H990">
            <v>0</v>
          </cell>
          <cell r="I990">
            <v>0</v>
          </cell>
          <cell r="J990">
            <v>0</v>
          </cell>
          <cell r="K990">
            <v>9</v>
          </cell>
          <cell r="L990">
            <v>0</v>
          </cell>
          <cell r="M990">
            <v>0</v>
          </cell>
        </row>
        <row r="991">
          <cell r="C991">
            <v>0</v>
          </cell>
          <cell r="D991">
            <v>0</v>
          </cell>
          <cell r="E991">
            <v>0</v>
          </cell>
          <cell r="F991">
            <v>0</v>
          </cell>
          <cell r="G991">
            <v>0</v>
          </cell>
          <cell r="H991">
            <v>0</v>
          </cell>
          <cell r="I991">
            <v>0</v>
          </cell>
          <cell r="J991">
            <v>0</v>
          </cell>
          <cell r="K991">
            <v>9</v>
          </cell>
          <cell r="L991">
            <v>0</v>
          </cell>
          <cell r="M991">
            <v>0</v>
          </cell>
        </row>
        <row r="992">
          <cell r="C992">
            <v>0</v>
          </cell>
          <cell r="D992">
            <v>0</v>
          </cell>
          <cell r="E992">
            <v>0</v>
          </cell>
          <cell r="F992">
            <v>0</v>
          </cell>
          <cell r="G992">
            <v>0</v>
          </cell>
          <cell r="H992">
            <v>0</v>
          </cell>
          <cell r="I992">
            <v>0</v>
          </cell>
          <cell r="J992">
            <v>0</v>
          </cell>
          <cell r="K992">
            <v>9</v>
          </cell>
          <cell r="L992">
            <v>0</v>
          </cell>
          <cell r="M992">
            <v>0</v>
          </cell>
        </row>
        <row r="993">
          <cell r="C993">
            <v>0</v>
          </cell>
          <cell r="D993">
            <v>0</v>
          </cell>
          <cell r="E993">
            <v>0</v>
          </cell>
          <cell r="F993">
            <v>0</v>
          </cell>
          <cell r="G993">
            <v>0</v>
          </cell>
          <cell r="H993">
            <v>0</v>
          </cell>
          <cell r="I993">
            <v>0</v>
          </cell>
          <cell r="J993">
            <v>0</v>
          </cell>
          <cell r="K993">
            <v>9</v>
          </cell>
          <cell r="L993">
            <v>0</v>
          </cell>
          <cell r="M993">
            <v>0</v>
          </cell>
        </row>
        <row r="994">
          <cell r="C994">
            <v>0</v>
          </cell>
          <cell r="D994">
            <v>0</v>
          </cell>
          <cell r="E994">
            <v>0</v>
          </cell>
          <cell r="F994">
            <v>0</v>
          </cell>
          <cell r="G994">
            <v>0</v>
          </cell>
          <cell r="H994">
            <v>0</v>
          </cell>
          <cell r="I994">
            <v>0</v>
          </cell>
          <cell r="J994">
            <v>0</v>
          </cell>
          <cell r="K994">
            <v>9</v>
          </cell>
          <cell r="L994">
            <v>0</v>
          </cell>
          <cell r="M994">
            <v>0</v>
          </cell>
        </row>
        <row r="995">
          <cell r="C995">
            <v>0</v>
          </cell>
          <cell r="D995">
            <v>0</v>
          </cell>
          <cell r="E995">
            <v>0</v>
          </cell>
          <cell r="F995">
            <v>0</v>
          </cell>
          <cell r="G995">
            <v>0</v>
          </cell>
          <cell r="H995">
            <v>0</v>
          </cell>
          <cell r="I995">
            <v>0</v>
          </cell>
          <cell r="J995">
            <v>0</v>
          </cell>
          <cell r="K995">
            <v>9</v>
          </cell>
          <cell r="L995">
            <v>0</v>
          </cell>
          <cell r="M995">
            <v>0</v>
          </cell>
        </row>
        <row r="996">
          <cell r="C996">
            <v>0</v>
          </cell>
          <cell r="D996">
            <v>0</v>
          </cell>
          <cell r="E996">
            <v>0</v>
          </cell>
          <cell r="F996">
            <v>0</v>
          </cell>
          <cell r="G996">
            <v>0</v>
          </cell>
          <cell r="H996">
            <v>0</v>
          </cell>
          <cell r="I996">
            <v>0</v>
          </cell>
          <cell r="J996">
            <v>0</v>
          </cell>
          <cell r="K996">
            <v>9</v>
          </cell>
          <cell r="L996">
            <v>0</v>
          </cell>
          <cell r="M996">
            <v>0</v>
          </cell>
        </row>
        <row r="997">
          <cell r="C997">
            <v>0</v>
          </cell>
          <cell r="D997">
            <v>0</v>
          </cell>
          <cell r="E997">
            <v>0</v>
          </cell>
          <cell r="F997">
            <v>0</v>
          </cell>
          <cell r="G997">
            <v>0</v>
          </cell>
          <cell r="H997">
            <v>0</v>
          </cell>
          <cell r="I997">
            <v>0</v>
          </cell>
          <cell r="J997">
            <v>0</v>
          </cell>
          <cell r="K997">
            <v>9</v>
          </cell>
          <cell r="L997">
            <v>0</v>
          </cell>
          <cell r="M997">
            <v>0</v>
          </cell>
        </row>
        <row r="998">
          <cell r="C998">
            <v>0</v>
          </cell>
          <cell r="D998">
            <v>0</v>
          </cell>
          <cell r="E998">
            <v>0</v>
          </cell>
          <cell r="F998">
            <v>0</v>
          </cell>
          <cell r="G998">
            <v>0</v>
          </cell>
          <cell r="H998">
            <v>0</v>
          </cell>
          <cell r="I998">
            <v>0</v>
          </cell>
          <cell r="J998">
            <v>0</v>
          </cell>
          <cell r="K998">
            <v>9</v>
          </cell>
          <cell r="L998">
            <v>0</v>
          </cell>
          <cell r="M998">
            <v>0</v>
          </cell>
        </row>
        <row r="999">
          <cell r="C999">
            <v>0</v>
          </cell>
          <cell r="D999">
            <v>0</v>
          </cell>
          <cell r="E999">
            <v>0</v>
          </cell>
          <cell r="F999">
            <v>0</v>
          </cell>
          <cell r="G999">
            <v>0</v>
          </cell>
          <cell r="H999">
            <v>0</v>
          </cell>
          <cell r="I999">
            <v>0</v>
          </cell>
          <cell r="J999">
            <v>0</v>
          </cell>
          <cell r="K999">
            <v>9</v>
          </cell>
          <cell r="L999">
            <v>0</v>
          </cell>
          <cell r="M999">
            <v>0</v>
          </cell>
        </row>
        <row r="1000">
          <cell r="C1000">
            <v>0</v>
          </cell>
          <cell r="D1000">
            <v>0</v>
          </cell>
          <cell r="E1000">
            <v>0</v>
          </cell>
          <cell r="F1000">
            <v>0</v>
          </cell>
          <cell r="G1000">
            <v>0</v>
          </cell>
          <cell r="H1000">
            <v>0</v>
          </cell>
          <cell r="I1000">
            <v>0</v>
          </cell>
          <cell r="J1000">
            <v>0</v>
          </cell>
          <cell r="K1000">
            <v>9</v>
          </cell>
          <cell r="L1000">
            <v>0</v>
          </cell>
          <cell r="M1000">
            <v>0</v>
          </cell>
        </row>
        <row r="1001">
          <cell r="C1001">
            <v>0</v>
          </cell>
          <cell r="D1001">
            <v>0</v>
          </cell>
          <cell r="E1001">
            <v>0</v>
          </cell>
          <cell r="F1001">
            <v>0</v>
          </cell>
          <cell r="G1001">
            <v>0</v>
          </cell>
          <cell r="H1001">
            <v>0</v>
          </cell>
          <cell r="I1001">
            <v>0</v>
          </cell>
          <cell r="J1001">
            <v>0</v>
          </cell>
          <cell r="K1001">
            <v>9</v>
          </cell>
          <cell r="L1001">
            <v>0</v>
          </cell>
          <cell r="M1001">
            <v>0</v>
          </cell>
        </row>
        <row r="1002">
          <cell r="C1002">
            <v>0</v>
          </cell>
          <cell r="D1002">
            <v>0</v>
          </cell>
          <cell r="E1002">
            <v>0</v>
          </cell>
          <cell r="F1002">
            <v>0</v>
          </cell>
          <cell r="G1002">
            <v>0</v>
          </cell>
          <cell r="H1002">
            <v>0</v>
          </cell>
          <cell r="I1002">
            <v>0</v>
          </cell>
          <cell r="J1002">
            <v>0</v>
          </cell>
          <cell r="K1002">
            <v>9</v>
          </cell>
          <cell r="L1002">
            <v>0</v>
          </cell>
          <cell r="M1002">
            <v>0</v>
          </cell>
        </row>
        <row r="1003">
          <cell r="C1003">
            <v>0</v>
          </cell>
          <cell r="D1003">
            <v>0</v>
          </cell>
          <cell r="E1003">
            <v>0</v>
          </cell>
          <cell r="F1003">
            <v>0</v>
          </cell>
          <cell r="G1003">
            <v>0</v>
          </cell>
          <cell r="H1003">
            <v>0</v>
          </cell>
          <cell r="I1003">
            <v>0</v>
          </cell>
          <cell r="J1003">
            <v>0</v>
          </cell>
          <cell r="K1003">
            <v>9</v>
          </cell>
          <cell r="L1003">
            <v>0</v>
          </cell>
          <cell r="M1003">
            <v>0</v>
          </cell>
        </row>
        <row r="1004">
          <cell r="C1004">
            <v>0</v>
          </cell>
          <cell r="D1004">
            <v>0</v>
          </cell>
          <cell r="E1004">
            <v>0</v>
          </cell>
          <cell r="F1004">
            <v>0</v>
          </cell>
          <cell r="G1004">
            <v>0</v>
          </cell>
          <cell r="H1004">
            <v>0</v>
          </cell>
          <cell r="I1004">
            <v>0</v>
          </cell>
          <cell r="J1004">
            <v>0</v>
          </cell>
          <cell r="K1004">
            <v>9</v>
          </cell>
          <cell r="L1004">
            <v>0</v>
          </cell>
          <cell r="M1004">
            <v>0</v>
          </cell>
        </row>
        <row r="1005">
          <cell r="C1005">
            <v>0</v>
          </cell>
          <cell r="D1005">
            <v>0</v>
          </cell>
          <cell r="E1005">
            <v>0</v>
          </cell>
          <cell r="F1005">
            <v>0</v>
          </cell>
          <cell r="G1005">
            <v>0</v>
          </cell>
          <cell r="H1005">
            <v>0</v>
          </cell>
          <cell r="I1005">
            <v>0</v>
          </cell>
          <cell r="J1005">
            <v>0</v>
          </cell>
          <cell r="K1005">
            <v>9</v>
          </cell>
          <cell r="L1005">
            <v>0</v>
          </cell>
          <cell r="M1005">
            <v>0</v>
          </cell>
        </row>
        <row r="1006">
          <cell r="C1006">
            <v>0</v>
          </cell>
          <cell r="D1006">
            <v>0</v>
          </cell>
          <cell r="E1006">
            <v>0</v>
          </cell>
          <cell r="F1006">
            <v>0</v>
          </cell>
          <cell r="G1006">
            <v>0</v>
          </cell>
          <cell r="H1006">
            <v>0</v>
          </cell>
          <cell r="I1006">
            <v>0</v>
          </cell>
          <cell r="J1006">
            <v>0</v>
          </cell>
          <cell r="K1006">
            <v>9</v>
          </cell>
          <cell r="L1006">
            <v>0</v>
          </cell>
          <cell r="M1006">
            <v>0</v>
          </cell>
        </row>
        <row r="1007">
          <cell r="C1007">
            <v>0</v>
          </cell>
          <cell r="D1007">
            <v>0</v>
          </cell>
          <cell r="E1007">
            <v>0</v>
          </cell>
          <cell r="F1007">
            <v>0</v>
          </cell>
          <cell r="G1007">
            <v>0</v>
          </cell>
          <cell r="H1007">
            <v>0</v>
          </cell>
          <cell r="I1007">
            <v>0</v>
          </cell>
          <cell r="J1007">
            <v>0</v>
          </cell>
          <cell r="K1007">
            <v>9</v>
          </cell>
          <cell r="L1007">
            <v>0</v>
          </cell>
          <cell r="M1007">
            <v>0</v>
          </cell>
        </row>
        <row r="1008">
          <cell r="C1008">
            <v>0</v>
          </cell>
          <cell r="D1008">
            <v>0</v>
          </cell>
          <cell r="E1008">
            <v>0</v>
          </cell>
          <cell r="F1008">
            <v>0</v>
          </cell>
          <cell r="G1008">
            <v>0</v>
          </cell>
          <cell r="H1008">
            <v>0</v>
          </cell>
          <cell r="I1008">
            <v>0</v>
          </cell>
          <cell r="J1008">
            <v>0</v>
          </cell>
          <cell r="K1008">
            <v>9</v>
          </cell>
          <cell r="L1008">
            <v>0</v>
          </cell>
          <cell r="M1008">
            <v>0</v>
          </cell>
        </row>
        <row r="1009">
          <cell r="C1009">
            <v>0</v>
          </cell>
          <cell r="D1009">
            <v>0</v>
          </cell>
          <cell r="E1009">
            <v>0</v>
          </cell>
          <cell r="F1009">
            <v>0</v>
          </cell>
          <cell r="G1009">
            <v>0</v>
          </cell>
          <cell r="H1009">
            <v>0</v>
          </cell>
          <cell r="I1009">
            <v>0</v>
          </cell>
          <cell r="J1009">
            <v>0</v>
          </cell>
          <cell r="K1009">
            <v>9</v>
          </cell>
          <cell r="L1009">
            <v>0</v>
          </cell>
          <cell r="M1009">
            <v>0</v>
          </cell>
        </row>
        <row r="1010">
          <cell r="C1010">
            <v>0</v>
          </cell>
          <cell r="D1010">
            <v>0</v>
          </cell>
          <cell r="E1010">
            <v>0</v>
          </cell>
          <cell r="F1010">
            <v>0</v>
          </cell>
          <cell r="G1010">
            <v>0</v>
          </cell>
          <cell r="H1010">
            <v>0</v>
          </cell>
          <cell r="I1010">
            <v>0</v>
          </cell>
          <cell r="J1010">
            <v>0</v>
          </cell>
          <cell r="K1010">
            <v>9</v>
          </cell>
          <cell r="L1010">
            <v>0</v>
          </cell>
          <cell r="M1010">
            <v>0</v>
          </cell>
        </row>
        <row r="1011">
          <cell r="C1011">
            <v>0</v>
          </cell>
          <cell r="D1011">
            <v>0</v>
          </cell>
          <cell r="E1011">
            <v>0</v>
          </cell>
          <cell r="F1011">
            <v>0</v>
          </cell>
          <cell r="G1011">
            <v>0</v>
          </cell>
          <cell r="H1011">
            <v>0</v>
          </cell>
          <cell r="I1011">
            <v>0</v>
          </cell>
          <cell r="J1011">
            <v>0</v>
          </cell>
          <cell r="K1011">
            <v>9</v>
          </cell>
          <cell r="L1011">
            <v>0</v>
          </cell>
          <cell r="M1011">
            <v>0</v>
          </cell>
        </row>
        <row r="1012">
          <cell r="C1012">
            <v>0</v>
          </cell>
          <cell r="D1012">
            <v>0</v>
          </cell>
          <cell r="E1012">
            <v>0</v>
          </cell>
          <cell r="F1012">
            <v>0</v>
          </cell>
          <cell r="G1012">
            <v>0</v>
          </cell>
          <cell r="H1012">
            <v>0</v>
          </cell>
          <cell r="I1012">
            <v>0</v>
          </cell>
          <cell r="J1012">
            <v>0</v>
          </cell>
          <cell r="K1012">
            <v>9</v>
          </cell>
          <cell r="L1012">
            <v>0</v>
          </cell>
          <cell r="M1012">
            <v>0</v>
          </cell>
        </row>
        <row r="1013">
          <cell r="C1013">
            <v>0</v>
          </cell>
          <cell r="D1013">
            <v>0</v>
          </cell>
          <cell r="E1013">
            <v>0</v>
          </cell>
          <cell r="F1013">
            <v>0</v>
          </cell>
          <cell r="G1013">
            <v>0</v>
          </cell>
          <cell r="H1013">
            <v>0</v>
          </cell>
          <cell r="I1013">
            <v>0</v>
          </cell>
          <cell r="J1013">
            <v>0</v>
          </cell>
          <cell r="K1013">
            <v>9</v>
          </cell>
          <cell r="L1013">
            <v>0</v>
          </cell>
          <cell r="M1013">
            <v>0</v>
          </cell>
        </row>
        <row r="1014">
          <cell r="C1014">
            <v>0</v>
          </cell>
          <cell r="D1014">
            <v>0</v>
          </cell>
          <cell r="E1014">
            <v>0</v>
          </cell>
          <cell r="F1014">
            <v>0</v>
          </cell>
          <cell r="G1014">
            <v>0</v>
          </cell>
          <cell r="H1014">
            <v>0</v>
          </cell>
          <cell r="I1014">
            <v>0</v>
          </cell>
          <cell r="J1014">
            <v>0</v>
          </cell>
          <cell r="K1014">
            <v>9</v>
          </cell>
          <cell r="L1014">
            <v>0</v>
          </cell>
          <cell r="M1014">
            <v>0</v>
          </cell>
        </row>
        <row r="1015">
          <cell r="C1015">
            <v>0</v>
          </cell>
          <cell r="D1015">
            <v>0</v>
          </cell>
          <cell r="E1015">
            <v>0</v>
          </cell>
          <cell r="F1015">
            <v>0</v>
          </cell>
          <cell r="G1015">
            <v>0</v>
          </cell>
          <cell r="H1015">
            <v>0</v>
          </cell>
          <cell r="I1015">
            <v>0</v>
          </cell>
          <cell r="J1015">
            <v>0</v>
          </cell>
          <cell r="K1015">
            <v>9</v>
          </cell>
          <cell r="L1015">
            <v>0</v>
          </cell>
          <cell r="M1015">
            <v>0</v>
          </cell>
        </row>
        <row r="1016">
          <cell r="C1016">
            <v>0</v>
          </cell>
          <cell r="D1016">
            <v>0</v>
          </cell>
          <cell r="E1016">
            <v>0</v>
          </cell>
          <cell r="F1016">
            <v>0</v>
          </cell>
          <cell r="G1016">
            <v>0</v>
          </cell>
          <cell r="H1016">
            <v>0</v>
          </cell>
          <cell r="I1016">
            <v>0</v>
          </cell>
          <cell r="J1016">
            <v>0</v>
          </cell>
          <cell r="K1016">
            <v>9</v>
          </cell>
          <cell r="L1016">
            <v>0</v>
          </cell>
          <cell r="M1016">
            <v>0</v>
          </cell>
        </row>
        <row r="1017">
          <cell r="C1017">
            <v>0</v>
          </cell>
          <cell r="D1017">
            <v>0</v>
          </cell>
          <cell r="E1017">
            <v>0</v>
          </cell>
          <cell r="F1017">
            <v>0</v>
          </cell>
          <cell r="G1017">
            <v>0</v>
          </cell>
          <cell r="H1017">
            <v>0</v>
          </cell>
          <cell r="I1017">
            <v>0</v>
          </cell>
          <cell r="J1017">
            <v>0</v>
          </cell>
          <cell r="K1017">
            <v>9</v>
          </cell>
          <cell r="L1017">
            <v>0</v>
          </cell>
          <cell r="M1017">
            <v>0</v>
          </cell>
        </row>
        <row r="1018">
          <cell r="C1018">
            <v>0</v>
          </cell>
          <cell r="D1018">
            <v>0</v>
          </cell>
          <cell r="E1018">
            <v>0</v>
          </cell>
          <cell r="F1018">
            <v>0</v>
          </cell>
          <cell r="G1018">
            <v>0</v>
          </cell>
          <cell r="H1018">
            <v>0</v>
          </cell>
          <cell r="I1018">
            <v>0</v>
          </cell>
          <cell r="J1018">
            <v>0</v>
          </cell>
          <cell r="K1018">
            <v>9</v>
          </cell>
          <cell r="L1018">
            <v>0</v>
          </cell>
          <cell r="M1018">
            <v>0</v>
          </cell>
        </row>
        <row r="1019">
          <cell r="C1019">
            <v>0</v>
          </cell>
          <cell r="D1019">
            <v>0</v>
          </cell>
          <cell r="E1019">
            <v>0</v>
          </cell>
          <cell r="F1019">
            <v>0</v>
          </cell>
          <cell r="G1019">
            <v>0</v>
          </cell>
          <cell r="H1019">
            <v>0</v>
          </cell>
          <cell r="I1019">
            <v>0</v>
          </cell>
          <cell r="J1019">
            <v>0</v>
          </cell>
          <cell r="K1019">
            <v>9</v>
          </cell>
          <cell r="L1019">
            <v>0</v>
          </cell>
          <cell r="M1019">
            <v>0</v>
          </cell>
        </row>
        <row r="1020">
          <cell r="C1020">
            <v>0</v>
          </cell>
          <cell r="D1020">
            <v>0</v>
          </cell>
          <cell r="E1020">
            <v>0</v>
          </cell>
          <cell r="F1020">
            <v>0</v>
          </cell>
          <cell r="G1020">
            <v>0</v>
          </cell>
          <cell r="H1020">
            <v>0</v>
          </cell>
          <cell r="I1020">
            <v>0</v>
          </cell>
          <cell r="J1020">
            <v>0</v>
          </cell>
          <cell r="K1020">
            <v>9</v>
          </cell>
          <cell r="L1020">
            <v>0</v>
          </cell>
          <cell r="M1020">
            <v>0</v>
          </cell>
        </row>
        <row r="1021">
          <cell r="C1021">
            <v>0</v>
          </cell>
          <cell r="D1021">
            <v>0</v>
          </cell>
          <cell r="E1021">
            <v>0</v>
          </cell>
          <cell r="F1021">
            <v>0</v>
          </cell>
          <cell r="G1021">
            <v>0</v>
          </cell>
          <cell r="H1021">
            <v>0</v>
          </cell>
          <cell r="I1021">
            <v>0</v>
          </cell>
          <cell r="J1021">
            <v>0</v>
          </cell>
          <cell r="K1021">
            <v>9</v>
          </cell>
          <cell r="L1021">
            <v>0</v>
          </cell>
          <cell r="M1021">
            <v>0</v>
          </cell>
        </row>
        <row r="1022">
          <cell r="C1022">
            <v>0</v>
          </cell>
          <cell r="D1022">
            <v>0</v>
          </cell>
          <cell r="E1022">
            <v>0</v>
          </cell>
          <cell r="F1022">
            <v>0</v>
          </cell>
          <cell r="G1022">
            <v>0</v>
          </cell>
          <cell r="H1022">
            <v>0</v>
          </cell>
          <cell r="I1022">
            <v>0</v>
          </cell>
          <cell r="J1022">
            <v>0</v>
          </cell>
          <cell r="K1022">
            <v>9</v>
          </cell>
          <cell r="L1022">
            <v>0</v>
          </cell>
          <cell r="M1022">
            <v>0</v>
          </cell>
        </row>
        <row r="1023">
          <cell r="C1023">
            <v>0</v>
          </cell>
          <cell r="D1023">
            <v>0</v>
          </cell>
          <cell r="E1023">
            <v>0</v>
          </cell>
          <cell r="F1023">
            <v>0</v>
          </cell>
          <cell r="G1023">
            <v>0</v>
          </cell>
          <cell r="H1023">
            <v>0</v>
          </cell>
          <cell r="I1023">
            <v>0</v>
          </cell>
          <cell r="J1023">
            <v>0</v>
          </cell>
          <cell r="K1023">
            <v>9</v>
          </cell>
          <cell r="L1023">
            <v>0</v>
          </cell>
          <cell r="M1023">
            <v>0</v>
          </cell>
        </row>
        <row r="1024">
          <cell r="C1024">
            <v>0</v>
          </cell>
          <cell r="D1024">
            <v>0</v>
          </cell>
          <cell r="E1024">
            <v>0</v>
          </cell>
          <cell r="F1024">
            <v>0</v>
          </cell>
          <cell r="G1024">
            <v>0</v>
          </cell>
          <cell r="H1024">
            <v>0</v>
          </cell>
          <cell r="I1024">
            <v>0</v>
          </cell>
          <cell r="J1024">
            <v>0</v>
          </cell>
          <cell r="K1024">
            <v>9</v>
          </cell>
          <cell r="L1024">
            <v>0</v>
          </cell>
          <cell r="M1024">
            <v>0</v>
          </cell>
        </row>
        <row r="1025">
          <cell r="C1025">
            <v>0</v>
          </cell>
          <cell r="D1025">
            <v>0</v>
          </cell>
          <cell r="E1025">
            <v>0</v>
          </cell>
          <cell r="F1025">
            <v>0</v>
          </cell>
          <cell r="G1025">
            <v>0</v>
          </cell>
          <cell r="H1025">
            <v>0</v>
          </cell>
          <cell r="I1025">
            <v>0</v>
          </cell>
          <cell r="J1025">
            <v>0</v>
          </cell>
          <cell r="K1025">
            <v>9</v>
          </cell>
          <cell r="L1025">
            <v>0</v>
          </cell>
          <cell r="M1025">
            <v>0</v>
          </cell>
        </row>
        <row r="1026">
          <cell r="C1026">
            <v>0</v>
          </cell>
          <cell r="D1026">
            <v>0</v>
          </cell>
          <cell r="E1026">
            <v>0</v>
          </cell>
          <cell r="F1026">
            <v>0</v>
          </cell>
          <cell r="G1026">
            <v>0</v>
          </cell>
          <cell r="H1026">
            <v>0</v>
          </cell>
          <cell r="I1026">
            <v>0</v>
          </cell>
          <cell r="J1026">
            <v>0</v>
          </cell>
          <cell r="K1026">
            <v>9</v>
          </cell>
          <cell r="L1026">
            <v>0</v>
          </cell>
          <cell r="M1026">
            <v>0</v>
          </cell>
        </row>
        <row r="1027">
          <cell r="C1027">
            <v>0</v>
          </cell>
          <cell r="D1027">
            <v>0</v>
          </cell>
          <cell r="E1027">
            <v>0</v>
          </cell>
          <cell r="F1027">
            <v>0</v>
          </cell>
          <cell r="G1027">
            <v>0</v>
          </cell>
          <cell r="H1027">
            <v>0</v>
          </cell>
          <cell r="I1027">
            <v>0</v>
          </cell>
          <cell r="J1027">
            <v>0</v>
          </cell>
          <cell r="K1027">
            <v>9</v>
          </cell>
          <cell r="L1027">
            <v>0</v>
          </cell>
          <cell r="M1027">
            <v>0</v>
          </cell>
        </row>
        <row r="1028">
          <cell r="C1028">
            <v>0</v>
          </cell>
          <cell r="D1028">
            <v>0</v>
          </cell>
          <cell r="E1028">
            <v>0</v>
          </cell>
          <cell r="F1028">
            <v>0</v>
          </cell>
          <cell r="G1028">
            <v>0</v>
          </cell>
          <cell r="H1028">
            <v>0</v>
          </cell>
          <cell r="I1028">
            <v>0</v>
          </cell>
          <cell r="J1028">
            <v>0</v>
          </cell>
          <cell r="K1028">
            <v>9</v>
          </cell>
          <cell r="L1028">
            <v>0</v>
          </cell>
          <cell r="M1028">
            <v>0</v>
          </cell>
        </row>
        <row r="1029">
          <cell r="C1029">
            <v>0</v>
          </cell>
          <cell r="D1029">
            <v>0</v>
          </cell>
          <cell r="E1029">
            <v>0</v>
          </cell>
          <cell r="F1029">
            <v>0</v>
          </cell>
          <cell r="G1029">
            <v>0</v>
          </cell>
          <cell r="H1029">
            <v>0</v>
          </cell>
          <cell r="I1029">
            <v>0</v>
          </cell>
          <cell r="J1029">
            <v>0</v>
          </cell>
          <cell r="K1029">
            <v>9</v>
          </cell>
          <cell r="L1029">
            <v>0</v>
          </cell>
          <cell r="M1029">
            <v>0</v>
          </cell>
        </row>
        <row r="1030">
          <cell r="C1030">
            <v>0</v>
          </cell>
          <cell r="D1030">
            <v>0</v>
          </cell>
          <cell r="E1030">
            <v>0</v>
          </cell>
          <cell r="F1030">
            <v>0</v>
          </cell>
          <cell r="G1030">
            <v>0</v>
          </cell>
          <cell r="H1030">
            <v>0</v>
          </cell>
          <cell r="I1030">
            <v>0</v>
          </cell>
          <cell r="J1030">
            <v>0</v>
          </cell>
          <cell r="K1030">
            <v>9</v>
          </cell>
          <cell r="L1030">
            <v>0</v>
          </cell>
          <cell r="M1030">
            <v>0</v>
          </cell>
        </row>
        <row r="1031">
          <cell r="C1031">
            <v>0</v>
          </cell>
          <cell r="D1031">
            <v>0</v>
          </cell>
          <cell r="E1031">
            <v>0</v>
          </cell>
          <cell r="F1031">
            <v>0</v>
          </cell>
          <cell r="G1031">
            <v>0</v>
          </cell>
          <cell r="H1031">
            <v>0</v>
          </cell>
          <cell r="I1031">
            <v>0</v>
          </cell>
          <cell r="J1031">
            <v>0</v>
          </cell>
          <cell r="K1031">
            <v>9</v>
          </cell>
          <cell r="L1031">
            <v>0</v>
          </cell>
          <cell r="M1031">
            <v>0</v>
          </cell>
        </row>
        <row r="1032">
          <cell r="C1032">
            <v>0</v>
          </cell>
          <cell r="D1032">
            <v>0</v>
          </cell>
          <cell r="E1032">
            <v>0</v>
          </cell>
          <cell r="F1032">
            <v>0</v>
          </cell>
          <cell r="G1032">
            <v>0</v>
          </cell>
          <cell r="H1032">
            <v>0</v>
          </cell>
          <cell r="I1032">
            <v>0</v>
          </cell>
          <cell r="J1032">
            <v>0</v>
          </cell>
          <cell r="K1032">
            <v>9</v>
          </cell>
          <cell r="L1032">
            <v>0</v>
          </cell>
          <cell r="M1032">
            <v>0</v>
          </cell>
        </row>
        <row r="1033">
          <cell r="C1033">
            <v>0</v>
          </cell>
          <cell r="D1033">
            <v>0</v>
          </cell>
          <cell r="E1033">
            <v>0</v>
          </cell>
          <cell r="F1033">
            <v>0</v>
          </cell>
          <cell r="G1033">
            <v>0</v>
          </cell>
          <cell r="H1033">
            <v>0</v>
          </cell>
          <cell r="I1033">
            <v>0</v>
          </cell>
          <cell r="J1033">
            <v>0</v>
          </cell>
          <cell r="K1033">
            <v>9</v>
          </cell>
          <cell r="L1033">
            <v>0</v>
          </cell>
          <cell r="M1033">
            <v>0</v>
          </cell>
        </row>
        <row r="1034">
          <cell r="C1034">
            <v>0</v>
          </cell>
          <cell r="D1034">
            <v>0</v>
          </cell>
          <cell r="E1034">
            <v>0</v>
          </cell>
          <cell r="F1034">
            <v>0</v>
          </cell>
          <cell r="G1034">
            <v>0</v>
          </cell>
          <cell r="H1034">
            <v>0</v>
          </cell>
          <cell r="I1034">
            <v>0</v>
          </cell>
          <cell r="J1034">
            <v>0</v>
          </cell>
          <cell r="K1034">
            <v>9</v>
          </cell>
          <cell r="L1034">
            <v>0</v>
          </cell>
          <cell r="M1034">
            <v>0</v>
          </cell>
        </row>
        <row r="1035">
          <cell r="C1035">
            <v>0</v>
          </cell>
          <cell r="D1035">
            <v>0</v>
          </cell>
          <cell r="E1035">
            <v>0</v>
          </cell>
          <cell r="F1035">
            <v>0</v>
          </cell>
          <cell r="G1035">
            <v>0</v>
          </cell>
          <cell r="H1035">
            <v>0</v>
          </cell>
          <cell r="I1035">
            <v>0</v>
          </cell>
          <cell r="J1035">
            <v>0</v>
          </cell>
          <cell r="K1035">
            <v>9</v>
          </cell>
          <cell r="L1035">
            <v>0</v>
          </cell>
          <cell r="M1035">
            <v>0</v>
          </cell>
        </row>
        <row r="1036">
          <cell r="C1036">
            <v>0</v>
          </cell>
          <cell r="D1036">
            <v>0</v>
          </cell>
          <cell r="E1036">
            <v>0</v>
          </cell>
          <cell r="F1036">
            <v>0</v>
          </cell>
          <cell r="G1036">
            <v>0</v>
          </cell>
          <cell r="H1036">
            <v>0</v>
          </cell>
          <cell r="I1036">
            <v>0</v>
          </cell>
          <cell r="J1036">
            <v>0</v>
          </cell>
          <cell r="K1036">
            <v>9</v>
          </cell>
          <cell r="L1036">
            <v>0</v>
          </cell>
          <cell r="M1036">
            <v>0</v>
          </cell>
        </row>
        <row r="1037">
          <cell r="C1037">
            <v>0</v>
          </cell>
          <cell r="D1037">
            <v>0</v>
          </cell>
          <cell r="E1037">
            <v>0</v>
          </cell>
          <cell r="F1037">
            <v>0</v>
          </cell>
          <cell r="G1037">
            <v>0</v>
          </cell>
          <cell r="H1037">
            <v>0</v>
          </cell>
          <cell r="I1037">
            <v>0</v>
          </cell>
          <cell r="J1037">
            <v>0</v>
          </cell>
          <cell r="K1037">
            <v>9</v>
          </cell>
          <cell r="L1037">
            <v>0</v>
          </cell>
          <cell r="M1037">
            <v>0</v>
          </cell>
        </row>
        <row r="1038">
          <cell r="C1038">
            <v>0</v>
          </cell>
          <cell r="D1038">
            <v>0</v>
          </cell>
          <cell r="E1038">
            <v>0</v>
          </cell>
          <cell r="F1038">
            <v>0</v>
          </cell>
          <cell r="G1038">
            <v>0</v>
          </cell>
          <cell r="H1038">
            <v>0</v>
          </cell>
          <cell r="I1038">
            <v>0</v>
          </cell>
          <cell r="J1038">
            <v>0</v>
          </cell>
          <cell r="K1038">
            <v>9</v>
          </cell>
          <cell r="L1038">
            <v>0</v>
          </cell>
          <cell r="M1038">
            <v>0</v>
          </cell>
        </row>
        <row r="1039">
          <cell r="C1039">
            <v>0</v>
          </cell>
          <cell r="D1039">
            <v>0</v>
          </cell>
          <cell r="E1039">
            <v>0</v>
          </cell>
          <cell r="F1039">
            <v>0</v>
          </cell>
          <cell r="G1039">
            <v>0</v>
          </cell>
          <cell r="H1039">
            <v>0</v>
          </cell>
          <cell r="I1039">
            <v>0</v>
          </cell>
          <cell r="J1039">
            <v>0</v>
          </cell>
          <cell r="K1039">
            <v>9</v>
          </cell>
          <cell r="L1039">
            <v>0</v>
          </cell>
          <cell r="M1039">
            <v>0</v>
          </cell>
        </row>
        <row r="1040">
          <cell r="C1040">
            <v>0</v>
          </cell>
          <cell r="D1040">
            <v>0</v>
          </cell>
          <cell r="E1040">
            <v>0</v>
          </cell>
          <cell r="F1040">
            <v>0</v>
          </cell>
          <cell r="G1040">
            <v>0</v>
          </cell>
          <cell r="H1040">
            <v>0</v>
          </cell>
          <cell r="I1040">
            <v>0</v>
          </cell>
          <cell r="J1040">
            <v>0</v>
          </cell>
          <cell r="K1040">
            <v>9</v>
          </cell>
          <cell r="L1040">
            <v>0</v>
          </cell>
          <cell r="M1040">
            <v>0</v>
          </cell>
        </row>
        <row r="1041">
          <cell r="C1041">
            <v>0</v>
          </cell>
          <cell r="D1041">
            <v>0</v>
          </cell>
          <cell r="E1041">
            <v>0</v>
          </cell>
          <cell r="F1041">
            <v>0</v>
          </cell>
          <cell r="G1041">
            <v>0</v>
          </cell>
          <cell r="H1041">
            <v>0</v>
          </cell>
          <cell r="I1041">
            <v>0</v>
          </cell>
          <cell r="J1041">
            <v>0</v>
          </cell>
          <cell r="K1041">
            <v>9</v>
          </cell>
          <cell r="L1041">
            <v>0</v>
          </cell>
          <cell r="M1041">
            <v>0</v>
          </cell>
        </row>
        <row r="1042">
          <cell r="C1042">
            <v>0</v>
          </cell>
          <cell r="D1042">
            <v>0</v>
          </cell>
          <cell r="E1042">
            <v>0</v>
          </cell>
          <cell r="F1042">
            <v>0</v>
          </cell>
          <cell r="G1042">
            <v>0</v>
          </cell>
          <cell r="H1042">
            <v>0</v>
          </cell>
          <cell r="I1042">
            <v>0</v>
          </cell>
          <cell r="J1042">
            <v>0</v>
          </cell>
          <cell r="K1042">
            <v>9</v>
          </cell>
          <cell r="L1042">
            <v>0</v>
          </cell>
          <cell r="M1042">
            <v>0</v>
          </cell>
        </row>
        <row r="1043">
          <cell r="C1043">
            <v>0</v>
          </cell>
          <cell r="D1043">
            <v>0</v>
          </cell>
          <cell r="E1043">
            <v>0</v>
          </cell>
          <cell r="F1043">
            <v>0</v>
          </cell>
          <cell r="G1043">
            <v>0</v>
          </cell>
          <cell r="H1043">
            <v>0</v>
          </cell>
          <cell r="I1043">
            <v>0</v>
          </cell>
          <cell r="J1043">
            <v>0</v>
          </cell>
          <cell r="K1043">
            <v>9</v>
          </cell>
          <cell r="L1043">
            <v>0</v>
          </cell>
          <cell r="M1043">
            <v>0</v>
          </cell>
        </row>
        <row r="1044">
          <cell r="C1044">
            <v>0</v>
          </cell>
          <cell r="D1044">
            <v>0</v>
          </cell>
          <cell r="E1044">
            <v>0</v>
          </cell>
          <cell r="F1044">
            <v>0</v>
          </cell>
          <cell r="G1044">
            <v>0</v>
          </cell>
          <cell r="H1044">
            <v>0</v>
          </cell>
          <cell r="I1044">
            <v>0</v>
          </cell>
          <cell r="J1044">
            <v>0</v>
          </cell>
          <cell r="K1044">
            <v>9</v>
          </cell>
          <cell r="L1044">
            <v>0</v>
          </cell>
          <cell r="M1044">
            <v>0</v>
          </cell>
        </row>
        <row r="1045">
          <cell r="C1045">
            <v>0</v>
          </cell>
          <cell r="D1045">
            <v>0</v>
          </cell>
          <cell r="E1045">
            <v>0</v>
          </cell>
          <cell r="F1045">
            <v>0</v>
          </cell>
          <cell r="G1045">
            <v>0</v>
          </cell>
          <cell r="H1045">
            <v>0</v>
          </cell>
          <cell r="I1045">
            <v>0</v>
          </cell>
          <cell r="J1045">
            <v>0</v>
          </cell>
          <cell r="K1045">
            <v>9</v>
          </cell>
          <cell r="L1045">
            <v>0</v>
          </cell>
          <cell r="M1045">
            <v>0</v>
          </cell>
        </row>
        <row r="1046">
          <cell r="C1046">
            <v>0</v>
          </cell>
          <cell r="D1046">
            <v>0</v>
          </cell>
          <cell r="E1046">
            <v>0</v>
          </cell>
          <cell r="F1046">
            <v>0</v>
          </cell>
          <cell r="G1046">
            <v>0</v>
          </cell>
          <cell r="H1046">
            <v>0</v>
          </cell>
          <cell r="I1046">
            <v>0</v>
          </cell>
          <cell r="J1046">
            <v>0</v>
          </cell>
          <cell r="K1046">
            <v>9</v>
          </cell>
          <cell r="L1046">
            <v>0</v>
          </cell>
          <cell r="M1046">
            <v>0</v>
          </cell>
        </row>
        <row r="1047">
          <cell r="C1047">
            <v>0</v>
          </cell>
          <cell r="D1047">
            <v>0</v>
          </cell>
          <cell r="E1047">
            <v>0</v>
          </cell>
          <cell r="F1047">
            <v>0</v>
          </cell>
          <cell r="G1047">
            <v>0</v>
          </cell>
          <cell r="H1047">
            <v>0</v>
          </cell>
          <cell r="I1047">
            <v>0</v>
          </cell>
          <cell r="J1047">
            <v>0</v>
          </cell>
          <cell r="K1047">
            <v>9</v>
          </cell>
          <cell r="L1047">
            <v>0</v>
          </cell>
          <cell r="M1047">
            <v>0</v>
          </cell>
        </row>
        <row r="1048">
          <cell r="C1048">
            <v>0</v>
          </cell>
          <cell r="D1048">
            <v>0</v>
          </cell>
          <cell r="E1048">
            <v>0</v>
          </cell>
          <cell r="F1048">
            <v>0</v>
          </cell>
          <cell r="G1048">
            <v>0</v>
          </cell>
          <cell r="H1048">
            <v>0</v>
          </cell>
          <cell r="I1048">
            <v>0</v>
          </cell>
          <cell r="J1048">
            <v>0</v>
          </cell>
          <cell r="K1048">
            <v>9</v>
          </cell>
          <cell r="L1048">
            <v>0</v>
          </cell>
          <cell r="M1048">
            <v>0</v>
          </cell>
        </row>
        <row r="1049">
          <cell r="C1049">
            <v>0</v>
          </cell>
          <cell r="D1049">
            <v>0</v>
          </cell>
          <cell r="E1049">
            <v>0</v>
          </cell>
          <cell r="F1049">
            <v>0</v>
          </cell>
          <cell r="G1049">
            <v>0</v>
          </cell>
          <cell r="H1049">
            <v>0</v>
          </cell>
          <cell r="I1049">
            <v>0</v>
          </cell>
          <cell r="J1049">
            <v>0</v>
          </cell>
          <cell r="K1049">
            <v>9</v>
          </cell>
          <cell r="L1049">
            <v>0</v>
          </cell>
          <cell r="M1049">
            <v>0</v>
          </cell>
        </row>
        <row r="1050">
          <cell r="C1050">
            <v>0</v>
          </cell>
          <cell r="D1050">
            <v>0</v>
          </cell>
          <cell r="E1050">
            <v>0</v>
          </cell>
          <cell r="F1050">
            <v>0</v>
          </cell>
          <cell r="G1050">
            <v>0</v>
          </cell>
          <cell r="H1050">
            <v>0</v>
          </cell>
          <cell r="I1050">
            <v>0</v>
          </cell>
          <cell r="J1050">
            <v>0</v>
          </cell>
          <cell r="K1050">
            <v>9</v>
          </cell>
          <cell r="L1050">
            <v>0</v>
          </cell>
          <cell r="M1050">
            <v>0</v>
          </cell>
        </row>
        <row r="1051">
          <cell r="C1051">
            <v>0</v>
          </cell>
          <cell r="D1051">
            <v>0</v>
          </cell>
          <cell r="E1051">
            <v>0</v>
          </cell>
          <cell r="F1051">
            <v>0</v>
          </cell>
          <cell r="G1051">
            <v>0</v>
          </cell>
          <cell r="H1051">
            <v>0</v>
          </cell>
          <cell r="I1051">
            <v>0</v>
          </cell>
          <cell r="J1051">
            <v>0</v>
          </cell>
          <cell r="K1051">
            <v>9</v>
          </cell>
          <cell r="L1051">
            <v>0</v>
          </cell>
          <cell r="M1051">
            <v>0</v>
          </cell>
        </row>
        <row r="1052">
          <cell r="C1052">
            <v>0</v>
          </cell>
          <cell r="D1052">
            <v>0</v>
          </cell>
          <cell r="E1052">
            <v>0</v>
          </cell>
          <cell r="F1052">
            <v>0</v>
          </cell>
          <cell r="G1052">
            <v>0</v>
          </cell>
          <cell r="H1052">
            <v>0</v>
          </cell>
          <cell r="I1052">
            <v>0</v>
          </cell>
          <cell r="J1052">
            <v>0</v>
          </cell>
          <cell r="K1052">
            <v>9</v>
          </cell>
          <cell r="L1052">
            <v>0</v>
          </cell>
          <cell r="M1052">
            <v>0</v>
          </cell>
        </row>
        <row r="1053">
          <cell r="C1053">
            <v>0</v>
          </cell>
          <cell r="D1053">
            <v>0</v>
          </cell>
          <cell r="E1053">
            <v>0</v>
          </cell>
          <cell r="F1053">
            <v>0</v>
          </cell>
          <cell r="G1053">
            <v>0</v>
          </cell>
          <cell r="H1053">
            <v>0</v>
          </cell>
          <cell r="I1053">
            <v>0</v>
          </cell>
          <cell r="J1053">
            <v>0</v>
          </cell>
          <cell r="K1053">
            <v>9</v>
          </cell>
          <cell r="L1053">
            <v>0</v>
          </cell>
          <cell r="M1053">
            <v>0</v>
          </cell>
        </row>
        <row r="1054">
          <cell r="C1054">
            <v>0</v>
          </cell>
          <cell r="D1054">
            <v>0</v>
          </cell>
          <cell r="E1054">
            <v>0</v>
          </cell>
          <cell r="F1054">
            <v>0</v>
          </cell>
          <cell r="G1054">
            <v>0</v>
          </cell>
          <cell r="H1054">
            <v>0</v>
          </cell>
          <cell r="I1054">
            <v>0</v>
          </cell>
          <cell r="J1054">
            <v>0</v>
          </cell>
          <cell r="K1054">
            <v>9</v>
          </cell>
          <cell r="L1054">
            <v>0</v>
          </cell>
          <cell r="M1054">
            <v>0</v>
          </cell>
        </row>
        <row r="1055">
          <cell r="C1055">
            <v>0</v>
          </cell>
          <cell r="D1055">
            <v>0</v>
          </cell>
          <cell r="E1055">
            <v>0</v>
          </cell>
          <cell r="F1055">
            <v>0</v>
          </cell>
          <cell r="G1055">
            <v>0</v>
          </cell>
          <cell r="H1055">
            <v>0</v>
          </cell>
          <cell r="I1055">
            <v>0</v>
          </cell>
          <cell r="J1055">
            <v>0</v>
          </cell>
          <cell r="K1055">
            <v>9</v>
          </cell>
          <cell r="L1055">
            <v>0</v>
          </cell>
          <cell r="M1055">
            <v>0</v>
          </cell>
        </row>
        <row r="1056">
          <cell r="C1056">
            <v>0</v>
          </cell>
          <cell r="D1056">
            <v>0</v>
          </cell>
          <cell r="E1056">
            <v>0</v>
          </cell>
          <cell r="F1056">
            <v>0</v>
          </cell>
          <cell r="G1056">
            <v>0</v>
          </cell>
          <cell r="H1056">
            <v>0</v>
          </cell>
          <cell r="I1056">
            <v>0</v>
          </cell>
          <cell r="J1056">
            <v>0</v>
          </cell>
          <cell r="K1056">
            <v>9</v>
          </cell>
          <cell r="L1056">
            <v>0</v>
          </cell>
          <cell r="M1056">
            <v>0</v>
          </cell>
        </row>
        <row r="1057">
          <cell r="C1057">
            <v>0</v>
          </cell>
          <cell r="D1057">
            <v>0</v>
          </cell>
          <cell r="E1057">
            <v>0</v>
          </cell>
          <cell r="F1057">
            <v>0</v>
          </cell>
          <cell r="G1057">
            <v>0</v>
          </cell>
          <cell r="H1057">
            <v>0</v>
          </cell>
          <cell r="I1057">
            <v>0</v>
          </cell>
          <cell r="J1057">
            <v>0</v>
          </cell>
          <cell r="K1057">
            <v>9</v>
          </cell>
          <cell r="L1057">
            <v>0</v>
          </cell>
          <cell r="M1057">
            <v>0</v>
          </cell>
        </row>
        <row r="1058">
          <cell r="C1058">
            <v>0</v>
          </cell>
          <cell r="D1058">
            <v>0</v>
          </cell>
          <cell r="E1058">
            <v>0</v>
          </cell>
          <cell r="F1058">
            <v>0</v>
          </cell>
          <cell r="G1058">
            <v>0</v>
          </cell>
          <cell r="H1058">
            <v>0</v>
          </cell>
          <cell r="I1058">
            <v>0</v>
          </cell>
          <cell r="J1058">
            <v>0</v>
          </cell>
          <cell r="K1058">
            <v>9</v>
          </cell>
          <cell r="L1058">
            <v>0</v>
          </cell>
          <cell r="M1058">
            <v>0</v>
          </cell>
        </row>
        <row r="1059">
          <cell r="C1059">
            <v>0</v>
          </cell>
          <cell r="D1059">
            <v>0</v>
          </cell>
          <cell r="E1059">
            <v>0</v>
          </cell>
          <cell r="F1059">
            <v>0</v>
          </cell>
          <cell r="G1059">
            <v>0</v>
          </cell>
          <cell r="H1059">
            <v>0</v>
          </cell>
          <cell r="I1059">
            <v>0</v>
          </cell>
          <cell r="J1059">
            <v>0</v>
          </cell>
          <cell r="K1059">
            <v>9</v>
          </cell>
          <cell r="L1059">
            <v>0</v>
          </cell>
          <cell r="M1059">
            <v>0</v>
          </cell>
        </row>
        <row r="1060">
          <cell r="C1060">
            <v>0</v>
          </cell>
          <cell r="D1060">
            <v>0</v>
          </cell>
          <cell r="E1060">
            <v>0</v>
          </cell>
          <cell r="F1060">
            <v>0</v>
          </cell>
          <cell r="G1060">
            <v>0</v>
          </cell>
          <cell r="H1060">
            <v>0</v>
          </cell>
          <cell r="I1060">
            <v>0</v>
          </cell>
          <cell r="J1060">
            <v>0</v>
          </cell>
          <cell r="K1060">
            <v>9</v>
          </cell>
          <cell r="L1060">
            <v>0</v>
          </cell>
          <cell r="M1060">
            <v>0</v>
          </cell>
        </row>
        <row r="1061">
          <cell r="C1061">
            <v>0</v>
          </cell>
          <cell r="D1061">
            <v>0</v>
          </cell>
          <cell r="E1061">
            <v>0</v>
          </cell>
          <cell r="F1061">
            <v>0</v>
          </cell>
          <cell r="G1061">
            <v>0</v>
          </cell>
          <cell r="H1061">
            <v>0</v>
          </cell>
          <cell r="I1061">
            <v>0</v>
          </cell>
          <cell r="J1061">
            <v>0</v>
          </cell>
          <cell r="K1061">
            <v>9</v>
          </cell>
          <cell r="L1061">
            <v>0</v>
          </cell>
          <cell r="M1061">
            <v>0</v>
          </cell>
        </row>
        <row r="1062">
          <cell r="C1062">
            <v>0</v>
          </cell>
          <cell r="D1062">
            <v>0</v>
          </cell>
          <cell r="E1062">
            <v>0</v>
          </cell>
          <cell r="F1062">
            <v>0</v>
          </cell>
          <cell r="G1062">
            <v>0</v>
          </cell>
          <cell r="H1062">
            <v>0</v>
          </cell>
          <cell r="I1062">
            <v>0</v>
          </cell>
          <cell r="J1062">
            <v>0</v>
          </cell>
          <cell r="K1062">
            <v>9</v>
          </cell>
          <cell r="L1062">
            <v>0</v>
          </cell>
          <cell r="M1062">
            <v>0</v>
          </cell>
        </row>
        <row r="1063">
          <cell r="C1063">
            <v>0</v>
          </cell>
          <cell r="D1063">
            <v>0</v>
          </cell>
          <cell r="E1063">
            <v>0</v>
          </cell>
          <cell r="F1063">
            <v>0</v>
          </cell>
          <cell r="G1063">
            <v>0</v>
          </cell>
          <cell r="H1063">
            <v>0</v>
          </cell>
          <cell r="I1063">
            <v>0</v>
          </cell>
          <cell r="J1063">
            <v>0</v>
          </cell>
          <cell r="K1063">
            <v>9</v>
          </cell>
          <cell r="L1063">
            <v>0</v>
          </cell>
          <cell r="M1063">
            <v>0</v>
          </cell>
        </row>
        <row r="1064">
          <cell r="C1064">
            <v>0</v>
          </cell>
          <cell r="D1064">
            <v>0</v>
          </cell>
          <cell r="E1064">
            <v>0</v>
          </cell>
          <cell r="F1064">
            <v>0</v>
          </cell>
          <cell r="G1064">
            <v>0</v>
          </cell>
          <cell r="H1064">
            <v>0</v>
          </cell>
          <cell r="I1064">
            <v>0</v>
          </cell>
          <cell r="J1064">
            <v>0</v>
          </cell>
          <cell r="K1064">
            <v>9</v>
          </cell>
          <cell r="L1064">
            <v>0</v>
          </cell>
          <cell r="M1064">
            <v>0</v>
          </cell>
        </row>
        <row r="1065">
          <cell r="C1065">
            <v>0</v>
          </cell>
          <cell r="D1065">
            <v>0</v>
          </cell>
          <cell r="E1065">
            <v>0</v>
          </cell>
          <cell r="F1065">
            <v>0</v>
          </cell>
          <cell r="G1065">
            <v>0</v>
          </cell>
          <cell r="H1065">
            <v>0</v>
          </cell>
          <cell r="I1065">
            <v>0</v>
          </cell>
          <cell r="J1065">
            <v>0</v>
          </cell>
          <cell r="K1065">
            <v>9</v>
          </cell>
          <cell r="L1065">
            <v>0</v>
          </cell>
          <cell r="M1065">
            <v>0</v>
          </cell>
        </row>
        <row r="1066">
          <cell r="C1066">
            <v>0</v>
          </cell>
          <cell r="D1066">
            <v>0</v>
          </cell>
          <cell r="E1066">
            <v>0</v>
          </cell>
          <cell r="F1066">
            <v>0</v>
          </cell>
          <cell r="G1066">
            <v>0</v>
          </cell>
          <cell r="H1066">
            <v>0</v>
          </cell>
          <cell r="I1066">
            <v>0</v>
          </cell>
          <cell r="J1066">
            <v>0</v>
          </cell>
          <cell r="K1066">
            <v>9</v>
          </cell>
          <cell r="L1066">
            <v>0</v>
          </cell>
          <cell r="M1066">
            <v>0</v>
          </cell>
        </row>
        <row r="1067">
          <cell r="C1067">
            <v>0</v>
          </cell>
          <cell r="D1067">
            <v>0</v>
          </cell>
          <cell r="E1067">
            <v>0</v>
          </cell>
          <cell r="F1067">
            <v>0</v>
          </cell>
          <cell r="G1067">
            <v>0</v>
          </cell>
          <cell r="H1067">
            <v>0</v>
          </cell>
          <cell r="I1067">
            <v>0</v>
          </cell>
          <cell r="J1067">
            <v>0</v>
          </cell>
          <cell r="K1067">
            <v>9</v>
          </cell>
          <cell r="L1067">
            <v>0</v>
          </cell>
          <cell r="M1067">
            <v>0</v>
          </cell>
        </row>
        <row r="1068">
          <cell r="C1068">
            <v>0</v>
          </cell>
          <cell r="D1068">
            <v>0</v>
          </cell>
          <cell r="E1068">
            <v>0</v>
          </cell>
          <cell r="F1068">
            <v>0</v>
          </cell>
          <cell r="G1068">
            <v>0</v>
          </cell>
          <cell r="H1068">
            <v>0</v>
          </cell>
          <cell r="I1068">
            <v>0</v>
          </cell>
          <cell r="J1068">
            <v>0</v>
          </cell>
          <cell r="K1068">
            <v>9</v>
          </cell>
          <cell r="L1068">
            <v>0</v>
          </cell>
          <cell r="M1068">
            <v>0</v>
          </cell>
        </row>
        <row r="1069">
          <cell r="C1069">
            <v>0</v>
          </cell>
          <cell r="D1069">
            <v>0</v>
          </cell>
          <cell r="E1069">
            <v>0</v>
          </cell>
          <cell r="F1069">
            <v>0</v>
          </cell>
          <cell r="G1069">
            <v>0</v>
          </cell>
          <cell r="H1069">
            <v>0</v>
          </cell>
          <cell r="I1069">
            <v>0</v>
          </cell>
          <cell r="J1069">
            <v>0</v>
          </cell>
          <cell r="K1069">
            <v>9</v>
          </cell>
          <cell r="L1069">
            <v>0</v>
          </cell>
          <cell r="M1069">
            <v>0</v>
          </cell>
        </row>
        <row r="1070">
          <cell r="C1070">
            <v>0</v>
          </cell>
          <cell r="D1070">
            <v>0</v>
          </cell>
          <cell r="E1070">
            <v>0</v>
          </cell>
          <cell r="F1070">
            <v>0</v>
          </cell>
          <cell r="G1070">
            <v>0</v>
          </cell>
          <cell r="H1070">
            <v>0</v>
          </cell>
          <cell r="I1070">
            <v>0</v>
          </cell>
          <cell r="J1070">
            <v>0</v>
          </cell>
          <cell r="K1070">
            <v>9</v>
          </cell>
          <cell r="L1070">
            <v>0</v>
          </cell>
          <cell r="M1070">
            <v>0</v>
          </cell>
        </row>
        <row r="1071">
          <cell r="C1071">
            <v>0</v>
          </cell>
          <cell r="D1071">
            <v>0</v>
          </cell>
          <cell r="E1071">
            <v>0</v>
          </cell>
          <cell r="F1071">
            <v>0</v>
          </cell>
          <cell r="G1071">
            <v>0</v>
          </cell>
          <cell r="H1071">
            <v>0</v>
          </cell>
          <cell r="I1071">
            <v>0</v>
          </cell>
          <cell r="J1071">
            <v>0</v>
          </cell>
          <cell r="K1071">
            <v>9</v>
          </cell>
          <cell r="L1071">
            <v>0</v>
          </cell>
          <cell r="M1071">
            <v>0</v>
          </cell>
        </row>
        <row r="1072">
          <cell r="C1072">
            <v>0</v>
          </cell>
          <cell r="D1072">
            <v>0</v>
          </cell>
          <cell r="E1072">
            <v>0</v>
          </cell>
          <cell r="F1072">
            <v>0</v>
          </cell>
          <cell r="G1072">
            <v>0</v>
          </cell>
          <cell r="H1072">
            <v>0</v>
          </cell>
          <cell r="I1072">
            <v>0</v>
          </cell>
          <cell r="J1072">
            <v>0</v>
          </cell>
          <cell r="K1072">
            <v>9</v>
          </cell>
          <cell r="L1072">
            <v>0</v>
          </cell>
          <cell r="M1072">
            <v>0</v>
          </cell>
        </row>
        <row r="1073">
          <cell r="C1073">
            <v>0</v>
          </cell>
          <cell r="D1073">
            <v>0</v>
          </cell>
          <cell r="E1073">
            <v>0</v>
          </cell>
          <cell r="F1073">
            <v>0</v>
          </cell>
          <cell r="G1073">
            <v>0</v>
          </cell>
          <cell r="H1073">
            <v>0</v>
          </cell>
          <cell r="I1073">
            <v>0</v>
          </cell>
          <cell r="J1073">
            <v>0</v>
          </cell>
          <cell r="K1073">
            <v>9</v>
          </cell>
          <cell r="L1073">
            <v>0</v>
          </cell>
          <cell r="M1073">
            <v>0</v>
          </cell>
        </row>
        <row r="1074">
          <cell r="C1074">
            <v>0</v>
          </cell>
          <cell r="D1074">
            <v>0</v>
          </cell>
          <cell r="E1074">
            <v>0</v>
          </cell>
          <cell r="F1074">
            <v>0</v>
          </cell>
          <cell r="G1074">
            <v>0</v>
          </cell>
          <cell r="H1074">
            <v>0</v>
          </cell>
          <cell r="I1074">
            <v>0</v>
          </cell>
          <cell r="J1074">
            <v>0</v>
          </cell>
          <cell r="K1074">
            <v>9</v>
          </cell>
          <cell r="L1074">
            <v>0</v>
          </cell>
          <cell r="M1074">
            <v>0</v>
          </cell>
        </row>
        <row r="1075">
          <cell r="C1075">
            <v>0</v>
          </cell>
          <cell r="D1075">
            <v>0</v>
          </cell>
          <cell r="E1075">
            <v>0</v>
          </cell>
          <cell r="F1075">
            <v>0</v>
          </cell>
          <cell r="G1075">
            <v>0</v>
          </cell>
          <cell r="H1075">
            <v>0</v>
          </cell>
          <cell r="I1075">
            <v>0</v>
          </cell>
          <cell r="J1075">
            <v>0</v>
          </cell>
          <cell r="K1075">
            <v>9</v>
          </cell>
          <cell r="L1075">
            <v>0</v>
          </cell>
          <cell r="M1075">
            <v>0</v>
          </cell>
        </row>
        <row r="1076">
          <cell r="C1076">
            <v>0</v>
          </cell>
          <cell r="D1076">
            <v>0</v>
          </cell>
          <cell r="E1076">
            <v>0</v>
          </cell>
          <cell r="F1076">
            <v>0</v>
          </cell>
          <cell r="G1076">
            <v>0</v>
          </cell>
          <cell r="H1076">
            <v>0</v>
          </cell>
          <cell r="I1076">
            <v>0</v>
          </cell>
          <cell r="J1076">
            <v>0</v>
          </cell>
          <cell r="K1076">
            <v>9</v>
          </cell>
          <cell r="L1076">
            <v>0</v>
          </cell>
          <cell r="M1076">
            <v>0</v>
          </cell>
        </row>
        <row r="1077">
          <cell r="C1077">
            <v>0</v>
          </cell>
          <cell r="D1077">
            <v>0</v>
          </cell>
          <cell r="E1077">
            <v>0</v>
          </cell>
          <cell r="F1077">
            <v>0</v>
          </cell>
          <cell r="G1077">
            <v>0</v>
          </cell>
          <cell r="H1077">
            <v>0</v>
          </cell>
          <cell r="I1077">
            <v>0</v>
          </cell>
          <cell r="J1077">
            <v>0</v>
          </cell>
          <cell r="K1077">
            <v>9</v>
          </cell>
          <cell r="L1077">
            <v>0</v>
          </cell>
          <cell r="M1077">
            <v>0</v>
          </cell>
        </row>
        <row r="1078">
          <cell r="C1078">
            <v>0</v>
          </cell>
          <cell r="D1078">
            <v>0</v>
          </cell>
          <cell r="E1078">
            <v>0</v>
          </cell>
          <cell r="F1078">
            <v>0</v>
          </cell>
          <cell r="G1078">
            <v>0</v>
          </cell>
          <cell r="H1078">
            <v>0</v>
          </cell>
          <cell r="I1078">
            <v>0</v>
          </cell>
          <cell r="J1078">
            <v>0</v>
          </cell>
          <cell r="K1078">
            <v>9</v>
          </cell>
          <cell r="L1078">
            <v>0</v>
          </cell>
          <cell r="M1078">
            <v>0</v>
          </cell>
        </row>
        <row r="1079">
          <cell r="C1079">
            <v>0</v>
          </cell>
          <cell r="D1079">
            <v>0</v>
          </cell>
          <cell r="E1079">
            <v>0</v>
          </cell>
          <cell r="F1079">
            <v>0</v>
          </cell>
          <cell r="G1079">
            <v>0</v>
          </cell>
          <cell r="H1079">
            <v>0</v>
          </cell>
          <cell r="I1079">
            <v>0</v>
          </cell>
          <cell r="J1079">
            <v>0</v>
          </cell>
          <cell r="K1079">
            <v>9</v>
          </cell>
          <cell r="L1079">
            <v>0</v>
          </cell>
          <cell r="M1079">
            <v>0</v>
          </cell>
        </row>
        <row r="1080">
          <cell r="C1080">
            <v>0</v>
          </cell>
          <cell r="D1080">
            <v>0</v>
          </cell>
          <cell r="E1080">
            <v>0</v>
          </cell>
          <cell r="F1080">
            <v>0</v>
          </cell>
          <cell r="G1080">
            <v>0</v>
          </cell>
          <cell r="H1080">
            <v>0</v>
          </cell>
          <cell r="I1080">
            <v>0</v>
          </cell>
          <cell r="J1080">
            <v>0</v>
          </cell>
          <cell r="K1080">
            <v>9</v>
          </cell>
          <cell r="L1080">
            <v>0</v>
          </cell>
          <cell r="M1080">
            <v>0</v>
          </cell>
        </row>
        <row r="1081">
          <cell r="C1081">
            <v>0</v>
          </cell>
          <cell r="D1081">
            <v>0</v>
          </cell>
          <cell r="E1081">
            <v>0</v>
          </cell>
          <cell r="F1081">
            <v>0</v>
          </cell>
          <cell r="G1081">
            <v>0</v>
          </cell>
          <cell r="H1081">
            <v>0</v>
          </cell>
          <cell r="I1081">
            <v>0</v>
          </cell>
          <cell r="J1081">
            <v>0</v>
          </cell>
          <cell r="K1081">
            <v>9</v>
          </cell>
          <cell r="L1081">
            <v>0</v>
          </cell>
          <cell r="M1081">
            <v>0</v>
          </cell>
        </row>
        <row r="1082">
          <cell r="C1082">
            <v>0</v>
          </cell>
          <cell r="D1082">
            <v>0</v>
          </cell>
          <cell r="E1082">
            <v>0</v>
          </cell>
          <cell r="F1082">
            <v>0</v>
          </cell>
          <cell r="G1082">
            <v>0</v>
          </cell>
          <cell r="H1082">
            <v>0</v>
          </cell>
          <cell r="I1082">
            <v>0</v>
          </cell>
          <cell r="J1082">
            <v>0</v>
          </cell>
          <cell r="K1082">
            <v>9</v>
          </cell>
          <cell r="L1082">
            <v>0</v>
          </cell>
          <cell r="M1082">
            <v>0</v>
          </cell>
        </row>
        <row r="1083">
          <cell r="C1083">
            <v>0</v>
          </cell>
          <cell r="D1083">
            <v>0</v>
          </cell>
          <cell r="E1083">
            <v>0</v>
          </cell>
          <cell r="F1083">
            <v>0</v>
          </cell>
          <cell r="G1083">
            <v>0</v>
          </cell>
          <cell r="H1083">
            <v>0</v>
          </cell>
          <cell r="I1083">
            <v>0</v>
          </cell>
          <cell r="J1083">
            <v>0</v>
          </cell>
          <cell r="K1083">
            <v>9</v>
          </cell>
          <cell r="L1083">
            <v>0</v>
          </cell>
          <cell r="M1083">
            <v>0</v>
          </cell>
        </row>
        <row r="1084">
          <cell r="C1084">
            <v>0</v>
          </cell>
          <cell r="D1084">
            <v>0</v>
          </cell>
          <cell r="E1084">
            <v>0</v>
          </cell>
          <cell r="F1084">
            <v>0</v>
          </cell>
          <cell r="G1084">
            <v>0</v>
          </cell>
          <cell r="H1084">
            <v>0</v>
          </cell>
          <cell r="I1084">
            <v>0</v>
          </cell>
          <cell r="J1084">
            <v>0</v>
          </cell>
          <cell r="K1084">
            <v>9</v>
          </cell>
          <cell r="L1084">
            <v>0</v>
          </cell>
          <cell r="M1084">
            <v>0</v>
          </cell>
        </row>
        <row r="1085">
          <cell r="C1085">
            <v>0</v>
          </cell>
          <cell r="D1085">
            <v>0</v>
          </cell>
          <cell r="E1085">
            <v>0</v>
          </cell>
          <cell r="F1085">
            <v>0</v>
          </cell>
          <cell r="G1085">
            <v>0</v>
          </cell>
          <cell r="H1085">
            <v>0</v>
          </cell>
          <cell r="I1085">
            <v>0</v>
          </cell>
          <cell r="J1085">
            <v>0</v>
          </cell>
          <cell r="K1085">
            <v>9</v>
          </cell>
          <cell r="L1085">
            <v>0</v>
          </cell>
          <cell r="M1085">
            <v>0</v>
          </cell>
        </row>
        <row r="1086">
          <cell r="C1086">
            <v>0</v>
          </cell>
          <cell r="D1086">
            <v>0</v>
          </cell>
          <cell r="E1086">
            <v>0</v>
          </cell>
          <cell r="F1086">
            <v>0</v>
          </cell>
          <cell r="G1086">
            <v>0</v>
          </cell>
          <cell r="H1086">
            <v>0</v>
          </cell>
          <cell r="I1086">
            <v>0</v>
          </cell>
          <cell r="J1086">
            <v>0</v>
          </cell>
          <cell r="K1086">
            <v>9</v>
          </cell>
          <cell r="L1086">
            <v>0</v>
          </cell>
          <cell r="M1086">
            <v>0</v>
          </cell>
        </row>
        <row r="1087">
          <cell r="C1087">
            <v>0</v>
          </cell>
          <cell r="D1087">
            <v>0</v>
          </cell>
          <cell r="E1087">
            <v>0</v>
          </cell>
          <cell r="F1087">
            <v>0</v>
          </cell>
          <cell r="G1087">
            <v>0</v>
          </cell>
          <cell r="H1087">
            <v>0</v>
          </cell>
          <cell r="I1087">
            <v>0</v>
          </cell>
          <cell r="J1087">
            <v>0</v>
          </cell>
          <cell r="K1087">
            <v>9</v>
          </cell>
          <cell r="L1087">
            <v>0</v>
          </cell>
          <cell r="M1087">
            <v>0</v>
          </cell>
        </row>
        <row r="1088">
          <cell r="C1088">
            <v>0</v>
          </cell>
          <cell r="D1088">
            <v>0</v>
          </cell>
          <cell r="E1088">
            <v>0</v>
          </cell>
          <cell r="F1088">
            <v>0</v>
          </cell>
          <cell r="G1088">
            <v>0</v>
          </cell>
          <cell r="H1088">
            <v>0</v>
          </cell>
          <cell r="I1088">
            <v>0</v>
          </cell>
          <cell r="J1088">
            <v>0</v>
          </cell>
          <cell r="K1088">
            <v>9</v>
          </cell>
          <cell r="L1088">
            <v>0</v>
          </cell>
          <cell r="M1088">
            <v>0</v>
          </cell>
        </row>
        <row r="1089">
          <cell r="C1089">
            <v>0</v>
          </cell>
          <cell r="D1089">
            <v>0</v>
          </cell>
          <cell r="E1089">
            <v>0</v>
          </cell>
          <cell r="F1089">
            <v>0</v>
          </cell>
          <cell r="G1089">
            <v>0</v>
          </cell>
          <cell r="H1089">
            <v>0</v>
          </cell>
          <cell r="I1089">
            <v>0</v>
          </cell>
          <cell r="J1089">
            <v>0</v>
          </cell>
          <cell r="K1089">
            <v>9</v>
          </cell>
          <cell r="L1089">
            <v>0</v>
          </cell>
          <cell r="M1089">
            <v>0</v>
          </cell>
        </row>
        <row r="1090">
          <cell r="C1090">
            <v>0</v>
          </cell>
          <cell r="D1090">
            <v>0</v>
          </cell>
          <cell r="E1090">
            <v>0</v>
          </cell>
          <cell r="F1090">
            <v>0</v>
          </cell>
          <cell r="G1090">
            <v>0</v>
          </cell>
          <cell r="H1090">
            <v>0</v>
          </cell>
          <cell r="I1090">
            <v>0</v>
          </cell>
          <cell r="J1090">
            <v>0</v>
          </cell>
          <cell r="K1090">
            <v>9</v>
          </cell>
          <cell r="L1090">
            <v>0</v>
          </cell>
          <cell r="M1090">
            <v>0</v>
          </cell>
        </row>
        <row r="1091">
          <cell r="C1091">
            <v>0</v>
          </cell>
          <cell r="D1091">
            <v>0</v>
          </cell>
          <cell r="E1091">
            <v>0</v>
          </cell>
          <cell r="F1091">
            <v>0</v>
          </cell>
          <cell r="G1091">
            <v>0</v>
          </cell>
          <cell r="H1091">
            <v>0</v>
          </cell>
          <cell r="I1091">
            <v>0</v>
          </cell>
          <cell r="J1091">
            <v>0</v>
          </cell>
          <cell r="K1091">
            <v>9</v>
          </cell>
          <cell r="L1091">
            <v>0</v>
          </cell>
          <cell r="M1091">
            <v>0</v>
          </cell>
        </row>
        <row r="1092">
          <cell r="C1092">
            <v>0</v>
          </cell>
          <cell r="D1092">
            <v>0</v>
          </cell>
          <cell r="E1092">
            <v>0</v>
          </cell>
          <cell r="F1092">
            <v>0</v>
          </cell>
          <cell r="G1092">
            <v>0</v>
          </cell>
          <cell r="H1092">
            <v>0</v>
          </cell>
          <cell r="I1092">
            <v>0</v>
          </cell>
          <cell r="J1092">
            <v>0</v>
          </cell>
          <cell r="K1092">
            <v>9</v>
          </cell>
          <cell r="L1092">
            <v>0</v>
          </cell>
          <cell r="M1092">
            <v>0</v>
          </cell>
        </row>
        <row r="1093">
          <cell r="C1093">
            <v>0</v>
          </cell>
          <cell r="D1093">
            <v>0</v>
          </cell>
          <cell r="E1093">
            <v>0</v>
          </cell>
          <cell r="F1093">
            <v>0</v>
          </cell>
          <cell r="G1093">
            <v>0</v>
          </cell>
          <cell r="H1093">
            <v>0</v>
          </cell>
          <cell r="I1093">
            <v>0</v>
          </cell>
          <cell r="J1093">
            <v>0</v>
          </cell>
          <cell r="K1093">
            <v>9</v>
          </cell>
          <cell r="L1093">
            <v>0</v>
          </cell>
          <cell r="M1093">
            <v>0</v>
          </cell>
        </row>
        <row r="1094">
          <cell r="C1094">
            <v>0</v>
          </cell>
          <cell r="D1094">
            <v>0</v>
          </cell>
          <cell r="E1094">
            <v>0</v>
          </cell>
          <cell r="F1094">
            <v>0</v>
          </cell>
          <cell r="G1094">
            <v>0</v>
          </cell>
          <cell r="H1094">
            <v>0</v>
          </cell>
          <cell r="I1094">
            <v>0</v>
          </cell>
          <cell r="J1094">
            <v>0</v>
          </cell>
          <cell r="K1094">
            <v>9</v>
          </cell>
          <cell r="L1094">
            <v>0</v>
          </cell>
          <cell r="M1094">
            <v>0</v>
          </cell>
        </row>
        <row r="1095">
          <cell r="C1095">
            <v>0</v>
          </cell>
          <cell r="D1095">
            <v>0</v>
          </cell>
          <cell r="E1095">
            <v>0</v>
          </cell>
          <cell r="F1095">
            <v>0</v>
          </cell>
          <cell r="G1095">
            <v>0</v>
          </cell>
          <cell r="H1095">
            <v>0</v>
          </cell>
          <cell r="I1095">
            <v>0</v>
          </cell>
          <cell r="J1095">
            <v>0</v>
          </cell>
          <cell r="K1095">
            <v>9</v>
          </cell>
          <cell r="L1095">
            <v>0</v>
          </cell>
          <cell r="M1095">
            <v>0</v>
          </cell>
        </row>
        <row r="1096">
          <cell r="C1096">
            <v>0</v>
          </cell>
          <cell r="D1096">
            <v>0</v>
          </cell>
          <cell r="E1096">
            <v>0</v>
          </cell>
          <cell r="F1096">
            <v>0</v>
          </cell>
          <cell r="G1096">
            <v>0</v>
          </cell>
          <cell r="H1096">
            <v>0</v>
          </cell>
          <cell r="I1096">
            <v>0</v>
          </cell>
          <cell r="J1096">
            <v>0</v>
          </cell>
          <cell r="K1096">
            <v>9</v>
          </cell>
          <cell r="L1096">
            <v>0</v>
          </cell>
          <cell r="M1096">
            <v>0</v>
          </cell>
        </row>
        <row r="1097">
          <cell r="C1097">
            <v>0</v>
          </cell>
          <cell r="D1097">
            <v>0</v>
          </cell>
          <cell r="E1097">
            <v>0</v>
          </cell>
          <cell r="F1097">
            <v>0</v>
          </cell>
          <cell r="G1097">
            <v>0</v>
          </cell>
          <cell r="H1097">
            <v>0</v>
          </cell>
          <cell r="I1097">
            <v>0</v>
          </cell>
          <cell r="J1097">
            <v>0</v>
          </cell>
          <cell r="K1097">
            <v>9</v>
          </cell>
          <cell r="L1097">
            <v>0</v>
          </cell>
          <cell r="M1097">
            <v>0</v>
          </cell>
        </row>
        <row r="1098">
          <cell r="C1098">
            <v>0</v>
          </cell>
          <cell r="D1098">
            <v>0</v>
          </cell>
          <cell r="E1098">
            <v>0</v>
          </cell>
          <cell r="F1098">
            <v>0</v>
          </cell>
          <cell r="G1098">
            <v>0</v>
          </cell>
          <cell r="H1098">
            <v>0</v>
          </cell>
          <cell r="I1098">
            <v>0</v>
          </cell>
          <cell r="J1098">
            <v>0</v>
          </cell>
          <cell r="K1098">
            <v>9</v>
          </cell>
          <cell r="L1098">
            <v>0</v>
          </cell>
          <cell r="M1098">
            <v>0</v>
          </cell>
        </row>
        <row r="1099">
          <cell r="C1099">
            <v>0</v>
          </cell>
          <cell r="D1099">
            <v>0</v>
          </cell>
          <cell r="E1099">
            <v>0</v>
          </cell>
          <cell r="F1099">
            <v>0</v>
          </cell>
          <cell r="G1099">
            <v>0</v>
          </cell>
          <cell r="H1099">
            <v>0</v>
          </cell>
          <cell r="I1099">
            <v>0</v>
          </cell>
          <cell r="J1099">
            <v>0</v>
          </cell>
          <cell r="K1099">
            <v>9</v>
          </cell>
          <cell r="L1099">
            <v>0</v>
          </cell>
          <cell r="M1099">
            <v>0</v>
          </cell>
        </row>
        <row r="1100">
          <cell r="C1100">
            <v>0</v>
          </cell>
          <cell r="D1100">
            <v>0</v>
          </cell>
          <cell r="E1100">
            <v>0</v>
          </cell>
          <cell r="F1100">
            <v>0</v>
          </cell>
          <cell r="G1100">
            <v>0</v>
          </cell>
          <cell r="H1100">
            <v>0</v>
          </cell>
          <cell r="I1100">
            <v>0</v>
          </cell>
          <cell r="J1100">
            <v>0</v>
          </cell>
          <cell r="K1100">
            <v>9</v>
          </cell>
          <cell r="L1100">
            <v>0</v>
          </cell>
          <cell r="M1100">
            <v>0</v>
          </cell>
        </row>
        <row r="1101">
          <cell r="C1101">
            <v>0</v>
          </cell>
          <cell r="D1101">
            <v>0</v>
          </cell>
          <cell r="E1101">
            <v>0</v>
          </cell>
          <cell r="F1101">
            <v>0</v>
          </cell>
          <cell r="G1101">
            <v>0</v>
          </cell>
          <cell r="H1101">
            <v>0</v>
          </cell>
          <cell r="I1101">
            <v>0</v>
          </cell>
          <cell r="J1101">
            <v>0</v>
          </cell>
          <cell r="K1101">
            <v>9</v>
          </cell>
          <cell r="L1101">
            <v>0</v>
          </cell>
          <cell r="M1101">
            <v>0</v>
          </cell>
        </row>
        <row r="1102">
          <cell r="C1102">
            <v>0</v>
          </cell>
          <cell r="D1102">
            <v>0</v>
          </cell>
          <cell r="E1102">
            <v>0</v>
          </cell>
          <cell r="F1102">
            <v>0</v>
          </cell>
          <cell r="G1102">
            <v>0</v>
          </cell>
          <cell r="H1102">
            <v>0</v>
          </cell>
          <cell r="I1102">
            <v>0</v>
          </cell>
          <cell r="J1102">
            <v>0</v>
          </cell>
          <cell r="K1102">
            <v>9</v>
          </cell>
          <cell r="L1102">
            <v>0</v>
          </cell>
          <cell r="M1102">
            <v>0</v>
          </cell>
        </row>
        <row r="1103">
          <cell r="C1103">
            <v>0</v>
          </cell>
          <cell r="D1103">
            <v>0</v>
          </cell>
          <cell r="E1103">
            <v>0</v>
          </cell>
          <cell r="F1103">
            <v>0</v>
          </cell>
          <cell r="G1103">
            <v>0</v>
          </cell>
          <cell r="H1103">
            <v>0</v>
          </cell>
          <cell r="I1103">
            <v>0</v>
          </cell>
          <cell r="J1103">
            <v>0</v>
          </cell>
          <cell r="K1103">
            <v>9</v>
          </cell>
          <cell r="L1103">
            <v>0</v>
          </cell>
          <cell r="M1103">
            <v>0</v>
          </cell>
        </row>
        <row r="1104">
          <cell r="C1104">
            <v>0</v>
          </cell>
          <cell r="D1104">
            <v>0</v>
          </cell>
          <cell r="E1104">
            <v>0</v>
          </cell>
          <cell r="F1104">
            <v>0</v>
          </cell>
          <cell r="G1104">
            <v>0</v>
          </cell>
          <cell r="H1104">
            <v>0</v>
          </cell>
          <cell r="I1104">
            <v>0</v>
          </cell>
          <cell r="J1104">
            <v>0</v>
          </cell>
          <cell r="K1104">
            <v>9</v>
          </cell>
          <cell r="L1104">
            <v>0</v>
          </cell>
          <cell r="M1104">
            <v>0</v>
          </cell>
        </row>
        <row r="1105">
          <cell r="C1105">
            <v>0</v>
          </cell>
          <cell r="D1105">
            <v>0</v>
          </cell>
          <cell r="E1105">
            <v>0</v>
          </cell>
          <cell r="F1105">
            <v>0</v>
          </cell>
          <cell r="G1105">
            <v>0</v>
          </cell>
          <cell r="H1105">
            <v>0</v>
          </cell>
          <cell r="I1105">
            <v>0</v>
          </cell>
          <cell r="J1105">
            <v>0</v>
          </cell>
          <cell r="K1105">
            <v>9</v>
          </cell>
          <cell r="L1105">
            <v>0</v>
          </cell>
          <cell r="M1105">
            <v>0</v>
          </cell>
        </row>
        <row r="1106">
          <cell r="C1106">
            <v>0</v>
          </cell>
          <cell r="D1106">
            <v>0</v>
          </cell>
          <cell r="E1106">
            <v>0</v>
          </cell>
          <cell r="F1106">
            <v>0</v>
          </cell>
          <cell r="G1106">
            <v>0</v>
          </cell>
          <cell r="H1106">
            <v>0</v>
          </cell>
          <cell r="I1106">
            <v>0</v>
          </cell>
          <cell r="J1106">
            <v>0</v>
          </cell>
          <cell r="K1106">
            <v>9</v>
          </cell>
          <cell r="L1106">
            <v>0</v>
          </cell>
          <cell r="M1106">
            <v>0</v>
          </cell>
        </row>
        <row r="1107">
          <cell r="C1107">
            <v>0</v>
          </cell>
          <cell r="D1107">
            <v>0</v>
          </cell>
          <cell r="E1107">
            <v>0</v>
          </cell>
          <cell r="F1107">
            <v>0</v>
          </cell>
          <cell r="G1107">
            <v>0</v>
          </cell>
          <cell r="H1107">
            <v>0</v>
          </cell>
          <cell r="I1107">
            <v>0</v>
          </cell>
          <cell r="J1107">
            <v>0</v>
          </cell>
          <cell r="K1107">
            <v>9</v>
          </cell>
          <cell r="L1107">
            <v>0</v>
          </cell>
          <cell r="M1107">
            <v>0</v>
          </cell>
        </row>
        <row r="1108">
          <cell r="C1108">
            <v>0</v>
          </cell>
          <cell r="D1108">
            <v>0</v>
          </cell>
          <cell r="E1108">
            <v>0</v>
          </cell>
          <cell r="F1108">
            <v>0</v>
          </cell>
          <cell r="G1108">
            <v>0</v>
          </cell>
          <cell r="H1108">
            <v>0</v>
          </cell>
          <cell r="I1108">
            <v>0</v>
          </cell>
          <cell r="J1108">
            <v>0</v>
          </cell>
          <cell r="K1108">
            <v>9</v>
          </cell>
          <cell r="L1108">
            <v>0</v>
          </cell>
          <cell r="M1108">
            <v>0</v>
          </cell>
        </row>
        <row r="1109">
          <cell r="C1109">
            <v>0</v>
          </cell>
          <cell r="D1109">
            <v>0</v>
          </cell>
          <cell r="E1109">
            <v>0</v>
          </cell>
          <cell r="F1109">
            <v>0</v>
          </cell>
          <cell r="G1109">
            <v>0</v>
          </cell>
          <cell r="H1109">
            <v>0</v>
          </cell>
          <cell r="I1109">
            <v>0</v>
          </cell>
          <cell r="J1109">
            <v>0</v>
          </cell>
          <cell r="K1109">
            <v>9</v>
          </cell>
          <cell r="L1109">
            <v>0</v>
          </cell>
          <cell r="M1109">
            <v>0</v>
          </cell>
        </row>
        <row r="1110">
          <cell r="C1110">
            <v>0</v>
          </cell>
          <cell r="D1110">
            <v>0</v>
          </cell>
          <cell r="E1110">
            <v>0</v>
          </cell>
          <cell r="F1110">
            <v>0</v>
          </cell>
          <cell r="G1110">
            <v>0</v>
          </cell>
          <cell r="H1110">
            <v>0</v>
          </cell>
          <cell r="I1110">
            <v>0</v>
          </cell>
          <cell r="J1110">
            <v>0</v>
          </cell>
          <cell r="K1110">
            <v>9</v>
          </cell>
          <cell r="L1110">
            <v>0</v>
          </cell>
          <cell r="M1110">
            <v>0</v>
          </cell>
        </row>
        <row r="1111">
          <cell r="C1111">
            <v>0</v>
          </cell>
          <cell r="D1111">
            <v>0</v>
          </cell>
          <cell r="E1111">
            <v>0</v>
          </cell>
          <cell r="F1111">
            <v>0</v>
          </cell>
          <cell r="G1111">
            <v>0</v>
          </cell>
          <cell r="H1111">
            <v>0</v>
          </cell>
          <cell r="I1111">
            <v>0</v>
          </cell>
          <cell r="J1111">
            <v>0</v>
          </cell>
          <cell r="K1111">
            <v>9</v>
          </cell>
          <cell r="L1111">
            <v>0</v>
          </cell>
          <cell r="M1111">
            <v>0</v>
          </cell>
        </row>
        <row r="1112">
          <cell r="C1112">
            <v>0</v>
          </cell>
          <cell r="D1112">
            <v>0</v>
          </cell>
          <cell r="E1112">
            <v>0</v>
          </cell>
          <cell r="F1112">
            <v>0</v>
          </cell>
          <cell r="G1112">
            <v>0</v>
          </cell>
          <cell r="H1112">
            <v>0</v>
          </cell>
          <cell r="I1112">
            <v>0</v>
          </cell>
          <cell r="J1112">
            <v>0</v>
          </cell>
          <cell r="K1112">
            <v>9</v>
          </cell>
          <cell r="L1112">
            <v>0</v>
          </cell>
          <cell r="M1112">
            <v>0</v>
          </cell>
        </row>
        <row r="1113">
          <cell r="C1113">
            <v>0</v>
          </cell>
          <cell r="D1113">
            <v>0</v>
          </cell>
          <cell r="E1113">
            <v>0</v>
          </cell>
          <cell r="F1113">
            <v>0</v>
          </cell>
          <cell r="G1113">
            <v>0</v>
          </cell>
          <cell r="H1113">
            <v>0</v>
          </cell>
          <cell r="I1113">
            <v>0</v>
          </cell>
          <cell r="J1113">
            <v>0</v>
          </cell>
          <cell r="K1113">
            <v>9</v>
          </cell>
          <cell r="L1113">
            <v>0</v>
          </cell>
          <cell r="M1113">
            <v>0</v>
          </cell>
        </row>
        <row r="1114">
          <cell r="C1114">
            <v>0</v>
          </cell>
          <cell r="D1114">
            <v>0</v>
          </cell>
          <cell r="E1114">
            <v>0</v>
          </cell>
          <cell r="F1114">
            <v>0</v>
          </cell>
          <cell r="G1114">
            <v>0</v>
          </cell>
          <cell r="H1114">
            <v>0</v>
          </cell>
          <cell r="I1114">
            <v>0</v>
          </cell>
          <cell r="J1114">
            <v>0</v>
          </cell>
          <cell r="K1114">
            <v>9</v>
          </cell>
          <cell r="L1114">
            <v>0</v>
          </cell>
          <cell r="M1114">
            <v>0</v>
          </cell>
        </row>
        <row r="1115">
          <cell r="C1115">
            <v>0</v>
          </cell>
          <cell r="D1115">
            <v>0</v>
          </cell>
          <cell r="E1115">
            <v>0</v>
          </cell>
          <cell r="F1115">
            <v>0</v>
          </cell>
          <cell r="G1115">
            <v>0</v>
          </cell>
          <cell r="H1115">
            <v>0</v>
          </cell>
          <cell r="I1115">
            <v>0</v>
          </cell>
          <cell r="J1115">
            <v>0</v>
          </cell>
          <cell r="K1115">
            <v>9</v>
          </cell>
          <cell r="L1115">
            <v>0</v>
          </cell>
          <cell r="M1115">
            <v>0</v>
          </cell>
        </row>
        <row r="1116">
          <cell r="C1116">
            <v>0</v>
          </cell>
          <cell r="D1116">
            <v>0</v>
          </cell>
          <cell r="E1116">
            <v>0</v>
          </cell>
          <cell r="F1116">
            <v>0</v>
          </cell>
          <cell r="G1116">
            <v>0</v>
          </cell>
          <cell r="H1116">
            <v>0</v>
          </cell>
          <cell r="I1116">
            <v>0</v>
          </cell>
          <cell r="J1116">
            <v>0</v>
          </cell>
          <cell r="K1116">
            <v>9</v>
          </cell>
          <cell r="L1116">
            <v>0</v>
          </cell>
          <cell r="M1116">
            <v>0</v>
          </cell>
        </row>
        <row r="1117">
          <cell r="C1117">
            <v>0</v>
          </cell>
          <cell r="D1117">
            <v>0</v>
          </cell>
          <cell r="E1117">
            <v>0</v>
          </cell>
          <cell r="F1117">
            <v>0</v>
          </cell>
          <cell r="G1117">
            <v>0</v>
          </cell>
          <cell r="H1117">
            <v>0</v>
          </cell>
          <cell r="I1117">
            <v>0</v>
          </cell>
          <cell r="J1117">
            <v>0</v>
          </cell>
          <cell r="K1117">
            <v>9</v>
          </cell>
          <cell r="L1117">
            <v>0</v>
          </cell>
          <cell r="M1117">
            <v>0</v>
          </cell>
        </row>
        <row r="1118">
          <cell r="C1118">
            <v>0</v>
          </cell>
          <cell r="D1118">
            <v>0</v>
          </cell>
          <cell r="E1118">
            <v>0</v>
          </cell>
          <cell r="F1118">
            <v>0</v>
          </cell>
          <cell r="G1118">
            <v>0</v>
          </cell>
          <cell r="H1118">
            <v>0</v>
          </cell>
          <cell r="I1118">
            <v>0</v>
          </cell>
          <cell r="J1118">
            <v>0</v>
          </cell>
          <cell r="K1118">
            <v>9</v>
          </cell>
          <cell r="L1118">
            <v>0</v>
          </cell>
          <cell r="M1118">
            <v>0</v>
          </cell>
        </row>
        <row r="1119">
          <cell r="C1119">
            <v>0</v>
          </cell>
          <cell r="D1119">
            <v>0</v>
          </cell>
          <cell r="E1119">
            <v>0</v>
          </cell>
          <cell r="F1119">
            <v>0</v>
          </cell>
          <cell r="G1119">
            <v>0</v>
          </cell>
          <cell r="H1119">
            <v>0</v>
          </cell>
          <cell r="I1119">
            <v>0</v>
          </cell>
          <cell r="J1119">
            <v>0</v>
          </cell>
          <cell r="K1119">
            <v>9</v>
          </cell>
          <cell r="L1119">
            <v>0</v>
          </cell>
          <cell r="M1119">
            <v>0</v>
          </cell>
        </row>
        <row r="1120">
          <cell r="C1120">
            <v>0</v>
          </cell>
          <cell r="D1120">
            <v>0</v>
          </cell>
          <cell r="E1120">
            <v>0</v>
          </cell>
          <cell r="F1120">
            <v>0</v>
          </cell>
          <cell r="G1120">
            <v>0</v>
          </cell>
          <cell r="H1120">
            <v>0</v>
          </cell>
          <cell r="I1120">
            <v>0</v>
          </cell>
          <cell r="J1120">
            <v>0</v>
          </cell>
          <cell r="K1120">
            <v>9</v>
          </cell>
          <cell r="L1120">
            <v>0</v>
          </cell>
          <cell r="M1120">
            <v>0</v>
          </cell>
        </row>
        <row r="1121">
          <cell r="C1121">
            <v>0</v>
          </cell>
          <cell r="D1121">
            <v>0</v>
          </cell>
          <cell r="E1121">
            <v>0</v>
          </cell>
          <cell r="F1121">
            <v>0</v>
          </cell>
          <cell r="G1121">
            <v>0</v>
          </cell>
          <cell r="H1121">
            <v>0</v>
          </cell>
          <cell r="I1121">
            <v>0</v>
          </cell>
          <cell r="J1121">
            <v>0</v>
          </cell>
          <cell r="K1121">
            <v>9</v>
          </cell>
          <cell r="L1121">
            <v>0</v>
          </cell>
          <cell r="M1121">
            <v>0</v>
          </cell>
        </row>
        <row r="1122">
          <cell r="C1122">
            <v>0</v>
          </cell>
          <cell r="D1122">
            <v>0</v>
          </cell>
          <cell r="E1122">
            <v>0</v>
          </cell>
          <cell r="F1122">
            <v>0</v>
          </cell>
          <cell r="G1122">
            <v>0</v>
          </cell>
          <cell r="H1122">
            <v>0</v>
          </cell>
          <cell r="I1122">
            <v>0</v>
          </cell>
          <cell r="J1122">
            <v>0</v>
          </cell>
          <cell r="K1122">
            <v>9</v>
          </cell>
          <cell r="L1122">
            <v>0</v>
          </cell>
          <cell r="M1122">
            <v>0</v>
          </cell>
        </row>
        <row r="1123">
          <cell r="C1123">
            <v>0</v>
          </cell>
          <cell r="D1123">
            <v>0</v>
          </cell>
          <cell r="E1123">
            <v>0</v>
          </cell>
          <cell r="F1123">
            <v>0</v>
          </cell>
          <cell r="G1123">
            <v>0</v>
          </cell>
          <cell r="H1123">
            <v>0</v>
          </cell>
          <cell r="I1123">
            <v>0</v>
          </cell>
          <cell r="J1123">
            <v>0</v>
          </cell>
          <cell r="K1123">
            <v>9</v>
          </cell>
          <cell r="L1123">
            <v>0</v>
          </cell>
          <cell r="M1123">
            <v>0</v>
          </cell>
        </row>
        <row r="1124">
          <cell r="C1124">
            <v>0</v>
          </cell>
          <cell r="D1124">
            <v>0</v>
          </cell>
          <cell r="E1124">
            <v>0</v>
          </cell>
          <cell r="F1124">
            <v>0</v>
          </cell>
          <cell r="G1124">
            <v>0</v>
          </cell>
          <cell r="H1124">
            <v>0</v>
          </cell>
          <cell r="I1124">
            <v>0</v>
          </cell>
          <cell r="J1124">
            <v>0</v>
          </cell>
          <cell r="K1124">
            <v>9</v>
          </cell>
          <cell r="L1124">
            <v>0</v>
          </cell>
          <cell r="M1124">
            <v>0</v>
          </cell>
        </row>
        <row r="1125">
          <cell r="C1125">
            <v>0</v>
          </cell>
          <cell r="D1125">
            <v>0</v>
          </cell>
          <cell r="E1125">
            <v>0</v>
          </cell>
          <cell r="F1125">
            <v>0</v>
          </cell>
          <cell r="G1125">
            <v>0</v>
          </cell>
          <cell r="H1125">
            <v>0</v>
          </cell>
          <cell r="I1125">
            <v>0</v>
          </cell>
          <cell r="J1125">
            <v>0</v>
          </cell>
          <cell r="K1125">
            <v>9</v>
          </cell>
          <cell r="L1125">
            <v>0</v>
          </cell>
          <cell r="M1125">
            <v>0</v>
          </cell>
        </row>
        <row r="1126">
          <cell r="C1126">
            <v>0</v>
          </cell>
          <cell r="D1126">
            <v>0</v>
          </cell>
          <cell r="E1126">
            <v>0</v>
          </cell>
          <cell r="F1126">
            <v>0</v>
          </cell>
          <cell r="G1126">
            <v>0</v>
          </cell>
          <cell r="H1126">
            <v>0</v>
          </cell>
          <cell r="I1126">
            <v>0</v>
          </cell>
          <cell r="J1126">
            <v>0</v>
          </cell>
          <cell r="K1126">
            <v>9</v>
          </cell>
          <cell r="L1126">
            <v>0</v>
          </cell>
          <cell r="M1126">
            <v>0</v>
          </cell>
        </row>
        <row r="1127">
          <cell r="C1127">
            <v>0</v>
          </cell>
          <cell r="D1127">
            <v>0</v>
          </cell>
          <cell r="E1127">
            <v>0</v>
          </cell>
          <cell r="F1127">
            <v>0</v>
          </cell>
          <cell r="G1127">
            <v>0</v>
          </cell>
          <cell r="H1127">
            <v>0</v>
          </cell>
          <cell r="I1127">
            <v>0</v>
          </cell>
          <cell r="J1127">
            <v>0</v>
          </cell>
          <cell r="K1127">
            <v>9</v>
          </cell>
          <cell r="L1127">
            <v>0</v>
          </cell>
          <cell r="M1127">
            <v>0</v>
          </cell>
        </row>
        <row r="1128">
          <cell r="C1128">
            <v>0</v>
          </cell>
          <cell r="D1128">
            <v>0</v>
          </cell>
          <cell r="E1128">
            <v>0</v>
          </cell>
          <cell r="F1128">
            <v>0</v>
          </cell>
          <cell r="G1128">
            <v>0</v>
          </cell>
          <cell r="H1128">
            <v>0</v>
          </cell>
          <cell r="I1128">
            <v>0</v>
          </cell>
          <cell r="J1128">
            <v>0</v>
          </cell>
          <cell r="K1128">
            <v>9</v>
          </cell>
          <cell r="L1128">
            <v>0</v>
          </cell>
          <cell r="M1128">
            <v>0</v>
          </cell>
        </row>
        <row r="1129">
          <cell r="C1129">
            <v>0</v>
          </cell>
          <cell r="D1129">
            <v>0</v>
          </cell>
          <cell r="E1129">
            <v>0</v>
          </cell>
          <cell r="F1129">
            <v>0</v>
          </cell>
          <cell r="G1129">
            <v>0</v>
          </cell>
          <cell r="H1129">
            <v>0</v>
          </cell>
          <cell r="I1129">
            <v>0</v>
          </cell>
          <cell r="J1129">
            <v>0</v>
          </cell>
          <cell r="K1129">
            <v>9</v>
          </cell>
          <cell r="L1129">
            <v>0</v>
          </cell>
          <cell r="M1129">
            <v>0</v>
          </cell>
        </row>
        <row r="1130">
          <cell r="C1130">
            <v>0</v>
          </cell>
          <cell r="D1130">
            <v>0</v>
          </cell>
          <cell r="E1130">
            <v>0</v>
          </cell>
          <cell r="F1130">
            <v>0</v>
          </cell>
          <cell r="G1130">
            <v>0</v>
          </cell>
          <cell r="H1130">
            <v>0</v>
          </cell>
          <cell r="I1130">
            <v>0</v>
          </cell>
          <cell r="J1130">
            <v>0</v>
          </cell>
          <cell r="K1130">
            <v>9</v>
          </cell>
          <cell r="L1130">
            <v>0</v>
          </cell>
          <cell r="M1130">
            <v>0</v>
          </cell>
        </row>
        <row r="1131">
          <cell r="C1131">
            <v>0</v>
          </cell>
          <cell r="D1131">
            <v>0</v>
          </cell>
          <cell r="E1131">
            <v>0</v>
          </cell>
          <cell r="F1131">
            <v>0</v>
          </cell>
          <cell r="G1131">
            <v>0</v>
          </cell>
          <cell r="H1131">
            <v>0</v>
          </cell>
          <cell r="I1131">
            <v>0</v>
          </cell>
          <cell r="J1131">
            <v>0</v>
          </cell>
          <cell r="K1131">
            <v>9</v>
          </cell>
          <cell r="L1131">
            <v>0</v>
          </cell>
          <cell r="M1131">
            <v>0</v>
          </cell>
        </row>
        <row r="1132">
          <cell r="C1132">
            <v>0</v>
          </cell>
          <cell r="D1132">
            <v>0</v>
          </cell>
          <cell r="E1132">
            <v>0</v>
          </cell>
          <cell r="F1132">
            <v>0</v>
          </cell>
          <cell r="G1132">
            <v>0</v>
          </cell>
          <cell r="H1132">
            <v>0</v>
          </cell>
          <cell r="I1132">
            <v>0</v>
          </cell>
          <cell r="J1132">
            <v>0</v>
          </cell>
          <cell r="K1132">
            <v>9</v>
          </cell>
          <cell r="L1132">
            <v>0</v>
          </cell>
          <cell r="M1132">
            <v>0</v>
          </cell>
        </row>
        <row r="1133">
          <cell r="C1133">
            <v>0</v>
          </cell>
          <cell r="D1133">
            <v>0</v>
          </cell>
          <cell r="E1133">
            <v>0</v>
          </cell>
          <cell r="F1133">
            <v>0</v>
          </cell>
          <cell r="G1133">
            <v>0</v>
          </cell>
          <cell r="H1133">
            <v>0</v>
          </cell>
          <cell r="I1133">
            <v>0</v>
          </cell>
          <cell r="J1133">
            <v>0</v>
          </cell>
          <cell r="K1133">
            <v>9</v>
          </cell>
          <cell r="L1133">
            <v>0</v>
          </cell>
          <cell r="M1133">
            <v>0</v>
          </cell>
        </row>
        <row r="1134">
          <cell r="C1134">
            <v>0</v>
          </cell>
          <cell r="D1134">
            <v>0</v>
          </cell>
          <cell r="E1134">
            <v>0</v>
          </cell>
          <cell r="F1134">
            <v>0</v>
          </cell>
          <cell r="G1134">
            <v>0</v>
          </cell>
          <cell r="H1134">
            <v>0</v>
          </cell>
          <cell r="I1134">
            <v>0</v>
          </cell>
          <cell r="J1134">
            <v>0</v>
          </cell>
          <cell r="K1134">
            <v>9</v>
          </cell>
          <cell r="L1134">
            <v>0</v>
          </cell>
          <cell r="M1134">
            <v>0</v>
          </cell>
        </row>
        <row r="1135">
          <cell r="C1135">
            <v>0</v>
          </cell>
          <cell r="D1135">
            <v>0</v>
          </cell>
          <cell r="E1135">
            <v>0</v>
          </cell>
          <cell r="F1135">
            <v>0</v>
          </cell>
          <cell r="G1135">
            <v>0</v>
          </cell>
          <cell r="H1135">
            <v>0</v>
          </cell>
          <cell r="I1135">
            <v>0</v>
          </cell>
          <cell r="J1135">
            <v>0</v>
          </cell>
          <cell r="K1135">
            <v>9</v>
          </cell>
          <cell r="L1135">
            <v>0</v>
          </cell>
          <cell r="M1135">
            <v>0</v>
          </cell>
        </row>
        <row r="1136">
          <cell r="C1136">
            <v>0</v>
          </cell>
          <cell r="D1136">
            <v>0</v>
          </cell>
          <cell r="E1136">
            <v>0</v>
          </cell>
          <cell r="F1136">
            <v>0</v>
          </cell>
          <cell r="G1136">
            <v>0</v>
          </cell>
          <cell r="H1136">
            <v>0</v>
          </cell>
          <cell r="I1136">
            <v>0</v>
          </cell>
          <cell r="J1136">
            <v>0</v>
          </cell>
          <cell r="K1136">
            <v>9</v>
          </cell>
          <cell r="L1136">
            <v>0</v>
          </cell>
          <cell r="M1136">
            <v>0</v>
          </cell>
        </row>
        <row r="1137">
          <cell r="C1137">
            <v>0</v>
          </cell>
          <cell r="D1137">
            <v>0</v>
          </cell>
          <cell r="E1137">
            <v>0</v>
          </cell>
          <cell r="F1137">
            <v>0</v>
          </cell>
          <cell r="G1137">
            <v>0</v>
          </cell>
          <cell r="H1137">
            <v>0</v>
          </cell>
          <cell r="I1137">
            <v>0</v>
          </cell>
          <cell r="J1137">
            <v>0</v>
          </cell>
          <cell r="K1137">
            <v>9</v>
          </cell>
          <cell r="L1137">
            <v>0</v>
          </cell>
          <cell r="M1137">
            <v>0</v>
          </cell>
        </row>
        <row r="1138">
          <cell r="C1138">
            <v>0</v>
          </cell>
          <cell r="D1138">
            <v>0</v>
          </cell>
          <cell r="E1138">
            <v>0</v>
          </cell>
          <cell r="F1138">
            <v>0</v>
          </cell>
          <cell r="G1138">
            <v>0</v>
          </cell>
          <cell r="H1138">
            <v>0</v>
          </cell>
          <cell r="I1138">
            <v>0</v>
          </cell>
          <cell r="J1138">
            <v>0</v>
          </cell>
          <cell r="K1138">
            <v>9</v>
          </cell>
          <cell r="L1138">
            <v>0</v>
          </cell>
          <cell r="M1138">
            <v>0</v>
          </cell>
        </row>
        <row r="1139">
          <cell r="C1139">
            <v>0</v>
          </cell>
          <cell r="D1139">
            <v>0</v>
          </cell>
          <cell r="E1139">
            <v>0</v>
          </cell>
          <cell r="F1139">
            <v>0</v>
          </cell>
          <cell r="G1139">
            <v>0</v>
          </cell>
          <cell r="H1139">
            <v>0</v>
          </cell>
          <cell r="I1139">
            <v>0</v>
          </cell>
          <cell r="J1139">
            <v>0</v>
          </cell>
          <cell r="K1139">
            <v>9</v>
          </cell>
          <cell r="L1139">
            <v>0</v>
          </cell>
          <cell r="M1139">
            <v>0</v>
          </cell>
        </row>
        <row r="1140">
          <cell r="C1140">
            <v>0</v>
          </cell>
          <cell r="D1140">
            <v>0</v>
          </cell>
          <cell r="E1140">
            <v>0</v>
          </cell>
          <cell r="F1140">
            <v>0</v>
          </cell>
          <cell r="G1140">
            <v>0</v>
          </cell>
          <cell r="H1140">
            <v>0</v>
          </cell>
          <cell r="I1140">
            <v>0</v>
          </cell>
          <cell r="J1140">
            <v>0</v>
          </cell>
          <cell r="K1140">
            <v>9</v>
          </cell>
          <cell r="L1140">
            <v>0</v>
          </cell>
          <cell r="M1140">
            <v>0</v>
          </cell>
        </row>
        <row r="1141">
          <cell r="C1141">
            <v>0</v>
          </cell>
          <cell r="D1141">
            <v>0</v>
          </cell>
          <cell r="E1141">
            <v>0</v>
          </cell>
          <cell r="F1141">
            <v>0</v>
          </cell>
          <cell r="G1141">
            <v>0</v>
          </cell>
          <cell r="H1141">
            <v>0</v>
          </cell>
          <cell r="I1141">
            <v>0</v>
          </cell>
          <cell r="J1141">
            <v>0</v>
          </cell>
          <cell r="K1141">
            <v>9</v>
          </cell>
          <cell r="L1141">
            <v>0</v>
          </cell>
          <cell r="M1141">
            <v>0</v>
          </cell>
        </row>
        <row r="1142">
          <cell r="C1142">
            <v>0</v>
          </cell>
          <cell r="D1142">
            <v>0</v>
          </cell>
          <cell r="E1142">
            <v>0</v>
          </cell>
          <cell r="F1142">
            <v>0</v>
          </cell>
          <cell r="G1142">
            <v>0</v>
          </cell>
          <cell r="H1142">
            <v>0</v>
          </cell>
          <cell r="I1142">
            <v>0</v>
          </cell>
          <cell r="J1142">
            <v>0</v>
          </cell>
          <cell r="K1142">
            <v>9</v>
          </cell>
          <cell r="L1142">
            <v>0</v>
          </cell>
          <cell r="M1142">
            <v>0</v>
          </cell>
        </row>
        <row r="1143">
          <cell r="C1143">
            <v>0</v>
          </cell>
          <cell r="D1143">
            <v>0</v>
          </cell>
          <cell r="E1143">
            <v>0</v>
          </cell>
          <cell r="F1143">
            <v>0</v>
          </cell>
          <cell r="G1143">
            <v>0</v>
          </cell>
          <cell r="H1143">
            <v>0</v>
          </cell>
          <cell r="I1143">
            <v>0</v>
          </cell>
          <cell r="J1143">
            <v>0</v>
          </cell>
          <cell r="K1143">
            <v>9</v>
          </cell>
          <cell r="L1143">
            <v>0</v>
          </cell>
          <cell r="M1143">
            <v>0</v>
          </cell>
        </row>
        <row r="1144">
          <cell r="C1144">
            <v>0</v>
          </cell>
          <cell r="D1144">
            <v>0</v>
          </cell>
          <cell r="E1144">
            <v>0</v>
          </cell>
          <cell r="F1144">
            <v>0</v>
          </cell>
          <cell r="G1144">
            <v>0</v>
          </cell>
          <cell r="H1144">
            <v>0</v>
          </cell>
          <cell r="I1144">
            <v>0</v>
          </cell>
          <cell r="J1144">
            <v>0</v>
          </cell>
          <cell r="K1144">
            <v>9</v>
          </cell>
          <cell r="L1144">
            <v>0</v>
          </cell>
          <cell r="M1144">
            <v>0</v>
          </cell>
        </row>
        <row r="1145">
          <cell r="C1145">
            <v>0</v>
          </cell>
          <cell r="D1145">
            <v>0</v>
          </cell>
          <cell r="E1145">
            <v>0</v>
          </cell>
          <cell r="F1145">
            <v>0</v>
          </cell>
          <cell r="G1145">
            <v>0</v>
          </cell>
          <cell r="H1145">
            <v>0</v>
          </cell>
          <cell r="I1145">
            <v>0</v>
          </cell>
          <cell r="J1145">
            <v>0</v>
          </cell>
          <cell r="K1145">
            <v>9</v>
          </cell>
          <cell r="L1145">
            <v>0</v>
          </cell>
          <cell r="M1145">
            <v>0</v>
          </cell>
        </row>
        <row r="1146">
          <cell r="C1146">
            <v>0</v>
          </cell>
          <cell r="D1146">
            <v>0</v>
          </cell>
          <cell r="E1146">
            <v>0</v>
          </cell>
          <cell r="F1146">
            <v>0</v>
          </cell>
          <cell r="G1146">
            <v>0</v>
          </cell>
          <cell r="H1146">
            <v>0</v>
          </cell>
          <cell r="I1146">
            <v>0</v>
          </cell>
          <cell r="J1146">
            <v>0</v>
          </cell>
          <cell r="K1146">
            <v>9</v>
          </cell>
          <cell r="L1146">
            <v>0</v>
          </cell>
          <cell r="M1146">
            <v>0</v>
          </cell>
        </row>
        <row r="1147">
          <cell r="C1147">
            <v>0</v>
          </cell>
          <cell r="D1147">
            <v>0</v>
          </cell>
          <cell r="E1147">
            <v>0</v>
          </cell>
          <cell r="F1147">
            <v>0</v>
          </cell>
          <cell r="G1147">
            <v>0</v>
          </cell>
          <cell r="H1147">
            <v>0</v>
          </cell>
          <cell r="I1147">
            <v>0</v>
          </cell>
          <cell r="J1147">
            <v>0</v>
          </cell>
          <cell r="K1147">
            <v>9</v>
          </cell>
          <cell r="L1147">
            <v>0</v>
          </cell>
          <cell r="M1147">
            <v>0</v>
          </cell>
        </row>
        <row r="1148">
          <cell r="C1148">
            <v>0</v>
          </cell>
          <cell r="D1148">
            <v>0</v>
          </cell>
          <cell r="E1148">
            <v>0</v>
          </cell>
          <cell r="F1148">
            <v>0</v>
          </cell>
          <cell r="G1148">
            <v>0</v>
          </cell>
          <cell r="H1148">
            <v>0</v>
          </cell>
          <cell r="I1148">
            <v>0</v>
          </cell>
          <cell r="J1148">
            <v>0</v>
          </cell>
          <cell r="K1148">
            <v>9</v>
          </cell>
          <cell r="L1148">
            <v>0</v>
          </cell>
          <cell r="M1148">
            <v>0</v>
          </cell>
        </row>
        <row r="1149">
          <cell r="C1149">
            <v>0</v>
          </cell>
          <cell r="D1149">
            <v>0</v>
          </cell>
          <cell r="E1149">
            <v>0</v>
          </cell>
          <cell r="F1149">
            <v>0</v>
          </cell>
          <cell r="G1149">
            <v>0</v>
          </cell>
          <cell r="H1149">
            <v>0</v>
          </cell>
          <cell r="I1149">
            <v>0</v>
          </cell>
          <cell r="J1149">
            <v>0</v>
          </cell>
          <cell r="K1149">
            <v>9</v>
          </cell>
          <cell r="L1149">
            <v>0</v>
          </cell>
          <cell r="M1149">
            <v>0</v>
          </cell>
        </row>
        <row r="1150">
          <cell r="C1150">
            <v>0</v>
          </cell>
          <cell r="D1150">
            <v>0</v>
          </cell>
          <cell r="E1150">
            <v>0</v>
          </cell>
          <cell r="F1150">
            <v>0</v>
          </cell>
          <cell r="G1150">
            <v>0</v>
          </cell>
          <cell r="H1150">
            <v>0</v>
          </cell>
          <cell r="I1150">
            <v>0</v>
          </cell>
          <cell r="J1150">
            <v>0</v>
          </cell>
          <cell r="K1150">
            <v>9</v>
          </cell>
          <cell r="L1150">
            <v>0</v>
          </cell>
          <cell r="M1150">
            <v>0</v>
          </cell>
        </row>
        <row r="1151">
          <cell r="C1151">
            <v>0</v>
          </cell>
          <cell r="D1151">
            <v>0</v>
          </cell>
          <cell r="E1151">
            <v>0</v>
          </cell>
          <cell r="F1151">
            <v>0</v>
          </cell>
          <cell r="G1151">
            <v>0</v>
          </cell>
          <cell r="H1151">
            <v>0</v>
          </cell>
          <cell r="I1151">
            <v>0</v>
          </cell>
          <cell r="J1151">
            <v>0</v>
          </cell>
          <cell r="K1151">
            <v>9</v>
          </cell>
          <cell r="L1151">
            <v>0</v>
          </cell>
          <cell r="M1151">
            <v>0</v>
          </cell>
        </row>
        <row r="1152">
          <cell r="C1152">
            <v>0</v>
          </cell>
          <cell r="D1152">
            <v>0</v>
          </cell>
          <cell r="E1152">
            <v>0</v>
          </cell>
          <cell r="F1152">
            <v>0</v>
          </cell>
          <cell r="G1152">
            <v>0</v>
          </cell>
          <cell r="H1152">
            <v>0</v>
          </cell>
          <cell r="I1152">
            <v>0</v>
          </cell>
          <cell r="J1152">
            <v>0</v>
          </cell>
          <cell r="K1152">
            <v>9</v>
          </cell>
          <cell r="L1152">
            <v>0</v>
          </cell>
          <cell r="M1152">
            <v>0</v>
          </cell>
        </row>
        <row r="1153">
          <cell r="C1153">
            <v>0</v>
          </cell>
          <cell r="D1153">
            <v>0</v>
          </cell>
          <cell r="E1153">
            <v>0</v>
          </cell>
          <cell r="F1153">
            <v>0</v>
          </cell>
          <cell r="G1153">
            <v>0</v>
          </cell>
          <cell r="H1153">
            <v>0</v>
          </cell>
          <cell r="I1153">
            <v>0</v>
          </cell>
          <cell r="J1153">
            <v>0</v>
          </cell>
          <cell r="K1153">
            <v>9</v>
          </cell>
          <cell r="L1153">
            <v>0</v>
          </cell>
          <cell r="M1153">
            <v>0</v>
          </cell>
        </row>
        <row r="1154">
          <cell r="C1154">
            <v>0</v>
          </cell>
          <cell r="D1154">
            <v>0</v>
          </cell>
          <cell r="E1154">
            <v>0</v>
          </cell>
          <cell r="F1154">
            <v>0</v>
          </cell>
          <cell r="G1154">
            <v>0</v>
          </cell>
          <cell r="H1154">
            <v>0</v>
          </cell>
          <cell r="I1154">
            <v>0</v>
          </cell>
          <cell r="J1154">
            <v>0</v>
          </cell>
          <cell r="K1154">
            <v>9</v>
          </cell>
          <cell r="L1154">
            <v>0</v>
          </cell>
          <cell r="M1154">
            <v>0</v>
          </cell>
        </row>
        <row r="1155">
          <cell r="C1155">
            <v>0</v>
          </cell>
          <cell r="D1155">
            <v>0</v>
          </cell>
          <cell r="E1155">
            <v>0</v>
          </cell>
          <cell r="F1155">
            <v>0</v>
          </cell>
          <cell r="G1155">
            <v>0</v>
          </cell>
          <cell r="H1155">
            <v>0</v>
          </cell>
          <cell r="I1155">
            <v>0</v>
          </cell>
          <cell r="J1155">
            <v>0</v>
          </cell>
          <cell r="K1155">
            <v>9</v>
          </cell>
          <cell r="L1155">
            <v>0</v>
          </cell>
          <cell r="M1155">
            <v>0</v>
          </cell>
        </row>
        <row r="1156">
          <cell r="C1156">
            <v>0</v>
          </cell>
          <cell r="D1156">
            <v>0</v>
          </cell>
          <cell r="E1156">
            <v>0</v>
          </cell>
          <cell r="F1156">
            <v>0</v>
          </cell>
          <cell r="G1156">
            <v>0</v>
          </cell>
          <cell r="H1156">
            <v>0</v>
          </cell>
          <cell r="I1156">
            <v>0</v>
          </cell>
          <cell r="J1156">
            <v>0</v>
          </cell>
          <cell r="K1156">
            <v>9</v>
          </cell>
          <cell r="L1156">
            <v>0</v>
          </cell>
          <cell r="M1156">
            <v>0</v>
          </cell>
        </row>
        <row r="1157">
          <cell r="C1157">
            <v>0</v>
          </cell>
          <cell r="D1157">
            <v>0</v>
          </cell>
          <cell r="E1157">
            <v>0</v>
          </cell>
          <cell r="F1157">
            <v>0</v>
          </cell>
          <cell r="G1157">
            <v>0</v>
          </cell>
          <cell r="H1157">
            <v>0</v>
          </cell>
          <cell r="I1157">
            <v>0</v>
          </cell>
          <cell r="J1157">
            <v>0</v>
          </cell>
          <cell r="K1157">
            <v>9</v>
          </cell>
          <cell r="L1157">
            <v>0</v>
          </cell>
          <cell r="M1157">
            <v>0</v>
          </cell>
        </row>
        <row r="1158">
          <cell r="C1158">
            <v>0</v>
          </cell>
          <cell r="D1158">
            <v>0</v>
          </cell>
          <cell r="E1158">
            <v>0</v>
          </cell>
          <cell r="F1158">
            <v>0</v>
          </cell>
          <cell r="G1158">
            <v>0</v>
          </cell>
          <cell r="H1158">
            <v>0</v>
          </cell>
          <cell r="I1158">
            <v>0</v>
          </cell>
          <cell r="J1158">
            <v>0</v>
          </cell>
          <cell r="K1158">
            <v>9</v>
          </cell>
          <cell r="L1158">
            <v>0</v>
          </cell>
          <cell r="M1158">
            <v>0</v>
          </cell>
        </row>
        <row r="1159">
          <cell r="C1159">
            <v>0</v>
          </cell>
          <cell r="D1159">
            <v>0</v>
          </cell>
          <cell r="E1159">
            <v>0</v>
          </cell>
          <cell r="F1159">
            <v>0</v>
          </cell>
          <cell r="G1159">
            <v>0</v>
          </cell>
          <cell r="H1159">
            <v>0</v>
          </cell>
          <cell r="I1159">
            <v>0</v>
          </cell>
          <cell r="J1159">
            <v>0</v>
          </cell>
          <cell r="K1159">
            <v>9</v>
          </cell>
          <cell r="L1159">
            <v>0</v>
          </cell>
          <cell r="M1159">
            <v>0</v>
          </cell>
        </row>
        <row r="1160">
          <cell r="C1160">
            <v>0</v>
          </cell>
          <cell r="D1160">
            <v>0</v>
          </cell>
          <cell r="E1160">
            <v>0</v>
          </cell>
          <cell r="F1160">
            <v>0</v>
          </cell>
          <cell r="G1160">
            <v>0</v>
          </cell>
          <cell r="H1160">
            <v>0</v>
          </cell>
          <cell r="I1160">
            <v>0</v>
          </cell>
          <cell r="J1160">
            <v>0</v>
          </cell>
          <cell r="K1160">
            <v>9</v>
          </cell>
          <cell r="L1160">
            <v>0</v>
          </cell>
          <cell r="M1160">
            <v>0</v>
          </cell>
        </row>
        <row r="1161">
          <cell r="C1161">
            <v>0</v>
          </cell>
          <cell r="D1161">
            <v>0</v>
          </cell>
          <cell r="E1161">
            <v>0</v>
          </cell>
          <cell r="F1161">
            <v>0</v>
          </cell>
          <cell r="G1161">
            <v>0</v>
          </cell>
          <cell r="H1161">
            <v>0</v>
          </cell>
          <cell r="I1161">
            <v>0</v>
          </cell>
          <cell r="J1161">
            <v>0</v>
          </cell>
          <cell r="K1161">
            <v>9</v>
          </cell>
          <cell r="L1161">
            <v>0</v>
          </cell>
          <cell r="M1161">
            <v>0</v>
          </cell>
        </row>
        <row r="1162">
          <cell r="C1162">
            <v>0</v>
          </cell>
          <cell r="D1162">
            <v>0</v>
          </cell>
          <cell r="E1162">
            <v>0</v>
          </cell>
          <cell r="F1162">
            <v>0</v>
          </cell>
          <cell r="G1162">
            <v>0</v>
          </cell>
          <cell r="H1162">
            <v>0</v>
          </cell>
          <cell r="I1162">
            <v>0</v>
          </cell>
          <cell r="J1162">
            <v>0</v>
          </cell>
          <cell r="K1162">
            <v>9</v>
          </cell>
          <cell r="L1162">
            <v>0</v>
          </cell>
          <cell r="M1162">
            <v>0</v>
          </cell>
        </row>
        <row r="1163">
          <cell r="C1163">
            <v>0</v>
          </cell>
          <cell r="D1163">
            <v>0</v>
          </cell>
          <cell r="E1163">
            <v>0</v>
          </cell>
          <cell r="F1163">
            <v>0</v>
          </cell>
          <cell r="G1163">
            <v>0</v>
          </cell>
          <cell r="H1163">
            <v>0</v>
          </cell>
          <cell r="I1163">
            <v>0</v>
          </cell>
          <cell r="J1163">
            <v>0</v>
          </cell>
          <cell r="K1163">
            <v>9</v>
          </cell>
          <cell r="L1163">
            <v>0</v>
          </cell>
          <cell r="M1163">
            <v>0</v>
          </cell>
        </row>
        <row r="1164">
          <cell r="C1164">
            <v>0</v>
          </cell>
          <cell r="D1164">
            <v>0</v>
          </cell>
          <cell r="E1164">
            <v>0</v>
          </cell>
          <cell r="F1164">
            <v>0</v>
          </cell>
          <cell r="G1164">
            <v>0</v>
          </cell>
          <cell r="H1164">
            <v>0</v>
          </cell>
          <cell r="I1164">
            <v>0</v>
          </cell>
          <cell r="J1164">
            <v>0</v>
          </cell>
          <cell r="K1164">
            <v>9</v>
          </cell>
          <cell r="L1164">
            <v>0</v>
          </cell>
          <cell r="M1164">
            <v>0</v>
          </cell>
        </row>
        <row r="1165">
          <cell r="C1165">
            <v>0</v>
          </cell>
          <cell r="D1165">
            <v>0</v>
          </cell>
          <cell r="E1165">
            <v>0</v>
          </cell>
          <cell r="F1165">
            <v>0</v>
          </cell>
          <cell r="G1165">
            <v>0</v>
          </cell>
          <cell r="H1165">
            <v>0</v>
          </cell>
          <cell r="I1165">
            <v>0</v>
          </cell>
          <cell r="J1165">
            <v>0</v>
          </cell>
          <cell r="K1165">
            <v>9</v>
          </cell>
          <cell r="L1165">
            <v>0</v>
          </cell>
          <cell r="M1165">
            <v>0</v>
          </cell>
        </row>
        <row r="1166">
          <cell r="C1166">
            <v>0</v>
          </cell>
          <cell r="D1166">
            <v>0</v>
          </cell>
          <cell r="E1166">
            <v>0</v>
          </cell>
          <cell r="F1166">
            <v>0</v>
          </cell>
          <cell r="G1166">
            <v>0</v>
          </cell>
          <cell r="H1166">
            <v>0</v>
          </cell>
          <cell r="I1166">
            <v>0</v>
          </cell>
          <cell r="J1166">
            <v>0</v>
          </cell>
          <cell r="K1166">
            <v>9</v>
          </cell>
          <cell r="L1166">
            <v>0</v>
          </cell>
          <cell r="M1166">
            <v>0</v>
          </cell>
        </row>
        <row r="1167">
          <cell r="C1167">
            <v>0</v>
          </cell>
          <cell r="D1167">
            <v>0</v>
          </cell>
          <cell r="E1167">
            <v>0</v>
          </cell>
          <cell r="F1167">
            <v>0</v>
          </cell>
          <cell r="G1167">
            <v>0</v>
          </cell>
          <cell r="H1167">
            <v>0</v>
          </cell>
          <cell r="I1167">
            <v>0</v>
          </cell>
          <cell r="J1167">
            <v>0</v>
          </cell>
          <cell r="K1167">
            <v>9</v>
          </cell>
          <cell r="L1167">
            <v>0</v>
          </cell>
          <cell r="M1167">
            <v>0</v>
          </cell>
        </row>
        <row r="1168">
          <cell r="C1168">
            <v>0</v>
          </cell>
          <cell r="D1168">
            <v>0</v>
          </cell>
          <cell r="E1168">
            <v>0</v>
          </cell>
          <cell r="F1168">
            <v>0</v>
          </cell>
          <cell r="G1168">
            <v>0</v>
          </cell>
          <cell r="H1168">
            <v>0</v>
          </cell>
          <cell r="I1168">
            <v>0</v>
          </cell>
          <cell r="J1168">
            <v>0</v>
          </cell>
          <cell r="K1168">
            <v>9</v>
          </cell>
          <cell r="L1168">
            <v>0</v>
          </cell>
          <cell r="M1168">
            <v>0</v>
          </cell>
        </row>
        <row r="1169">
          <cell r="C1169">
            <v>0</v>
          </cell>
          <cell r="D1169">
            <v>0</v>
          </cell>
          <cell r="E1169">
            <v>0</v>
          </cell>
          <cell r="F1169">
            <v>0</v>
          </cell>
          <cell r="G1169">
            <v>0</v>
          </cell>
          <cell r="H1169">
            <v>0</v>
          </cell>
          <cell r="I1169">
            <v>0</v>
          </cell>
          <cell r="J1169">
            <v>0</v>
          </cell>
          <cell r="K1169">
            <v>9</v>
          </cell>
          <cell r="L1169">
            <v>0</v>
          </cell>
          <cell r="M1169">
            <v>0</v>
          </cell>
        </row>
        <row r="1170">
          <cell r="C1170">
            <v>0</v>
          </cell>
          <cell r="D1170">
            <v>0</v>
          </cell>
          <cell r="E1170">
            <v>0</v>
          </cell>
          <cell r="F1170">
            <v>0</v>
          </cell>
          <cell r="G1170">
            <v>0</v>
          </cell>
          <cell r="H1170">
            <v>0</v>
          </cell>
          <cell r="I1170">
            <v>0</v>
          </cell>
          <cell r="J1170">
            <v>0</v>
          </cell>
          <cell r="K1170">
            <v>9</v>
          </cell>
          <cell r="L1170">
            <v>0</v>
          </cell>
          <cell r="M1170">
            <v>0</v>
          </cell>
        </row>
        <row r="1171">
          <cell r="C1171">
            <v>0</v>
          </cell>
          <cell r="D1171">
            <v>0</v>
          </cell>
          <cell r="E1171">
            <v>0</v>
          </cell>
          <cell r="F1171">
            <v>0</v>
          </cell>
          <cell r="G1171">
            <v>0</v>
          </cell>
          <cell r="H1171">
            <v>0</v>
          </cell>
          <cell r="I1171">
            <v>0</v>
          </cell>
          <cell r="J1171">
            <v>0</v>
          </cell>
          <cell r="K1171">
            <v>9</v>
          </cell>
          <cell r="L1171">
            <v>0</v>
          </cell>
          <cell r="M1171">
            <v>0</v>
          </cell>
        </row>
        <row r="1172">
          <cell r="C1172">
            <v>0</v>
          </cell>
          <cell r="D1172">
            <v>0</v>
          </cell>
          <cell r="E1172">
            <v>0</v>
          </cell>
          <cell r="F1172">
            <v>0</v>
          </cell>
          <cell r="G1172">
            <v>0</v>
          </cell>
          <cell r="H1172">
            <v>0</v>
          </cell>
          <cell r="I1172">
            <v>0</v>
          </cell>
          <cell r="J1172">
            <v>0</v>
          </cell>
          <cell r="K1172">
            <v>9</v>
          </cell>
          <cell r="L1172">
            <v>0</v>
          </cell>
          <cell r="M1172">
            <v>0</v>
          </cell>
        </row>
        <row r="1173">
          <cell r="C1173">
            <v>0</v>
          </cell>
          <cell r="D1173">
            <v>0</v>
          </cell>
          <cell r="E1173">
            <v>0</v>
          </cell>
          <cell r="F1173">
            <v>0</v>
          </cell>
          <cell r="G1173">
            <v>0</v>
          </cell>
          <cell r="H1173">
            <v>0</v>
          </cell>
          <cell r="I1173">
            <v>0</v>
          </cell>
          <cell r="J1173">
            <v>0</v>
          </cell>
          <cell r="K1173">
            <v>9</v>
          </cell>
          <cell r="L1173">
            <v>0</v>
          </cell>
          <cell r="M1173">
            <v>0</v>
          </cell>
        </row>
        <row r="1174">
          <cell r="C1174">
            <v>0</v>
          </cell>
          <cell r="D1174">
            <v>0</v>
          </cell>
          <cell r="E1174">
            <v>0</v>
          </cell>
          <cell r="F1174">
            <v>0</v>
          </cell>
          <cell r="G1174">
            <v>0</v>
          </cell>
          <cell r="H1174">
            <v>0</v>
          </cell>
          <cell r="I1174">
            <v>0</v>
          </cell>
          <cell r="J1174">
            <v>0</v>
          </cell>
          <cell r="K1174">
            <v>9</v>
          </cell>
          <cell r="L1174">
            <v>0</v>
          </cell>
          <cell r="M1174">
            <v>0</v>
          </cell>
        </row>
        <row r="1175">
          <cell r="C1175">
            <v>0</v>
          </cell>
          <cell r="D1175">
            <v>0</v>
          </cell>
          <cell r="E1175">
            <v>0</v>
          </cell>
          <cell r="F1175">
            <v>0</v>
          </cell>
          <cell r="G1175">
            <v>0</v>
          </cell>
          <cell r="H1175">
            <v>0</v>
          </cell>
          <cell r="I1175">
            <v>0</v>
          </cell>
          <cell r="J1175">
            <v>0</v>
          </cell>
          <cell r="K1175">
            <v>9</v>
          </cell>
          <cell r="L1175">
            <v>0</v>
          </cell>
          <cell r="M1175">
            <v>0</v>
          </cell>
        </row>
        <row r="1176">
          <cell r="C1176">
            <v>0</v>
          </cell>
          <cell r="D1176">
            <v>0</v>
          </cell>
          <cell r="E1176">
            <v>0</v>
          </cell>
          <cell r="F1176">
            <v>0</v>
          </cell>
          <cell r="G1176">
            <v>0</v>
          </cell>
          <cell r="H1176">
            <v>0</v>
          </cell>
          <cell r="I1176">
            <v>0</v>
          </cell>
          <cell r="J1176">
            <v>0</v>
          </cell>
          <cell r="K1176">
            <v>9</v>
          </cell>
          <cell r="L1176">
            <v>0</v>
          </cell>
          <cell r="M1176">
            <v>0</v>
          </cell>
        </row>
        <row r="1177">
          <cell r="C1177">
            <v>0</v>
          </cell>
          <cell r="D1177">
            <v>0</v>
          </cell>
          <cell r="E1177">
            <v>0</v>
          </cell>
          <cell r="F1177">
            <v>0</v>
          </cell>
          <cell r="G1177">
            <v>0</v>
          </cell>
          <cell r="H1177">
            <v>0</v>
          </cell>
          <cell r="I1177">
            <v>0</v>
          </cell>
          <cell r="J1177">
            <v>0</v>
          </cell>
          <cell r="K1177">
            <v>9</v>
          </cell>
          <cell r="L1177">
            <v>0</v>
          </cell>
          <cell r="M1177">
            <v>0</v>
          </cell>
        </row>
        <row r="1178">
          <cell r="C1178">
            <v>0</v>
          </cell>
          <cell r="D1178">
            <v>0</v>
          </cell>
          <cell r="E1178">
            <v>0</v>
          </cell>
          <cell r="F1178">
            <v>0</v>
          </cell>
          <cell r="G1178">
            <v>0</v>
          </cell>
          <cell r="H1178">
            <v>0</v>
          </cell>
          <cell r="I1178">
            <v>0</v>
          </cell>
          <cell r="J1178">
            <v>0</v>
          </cell>
          <cell r="K1178">
            <v>9</v>
          </cell>
          <cell r="L1178">
            <v>0</v>
          </cell>
          <cell r="M1178">
            <v>0</v>
          </cell>
        </row>
        <row r="1179">
          <cell r="C1179">
            <v>0</v>
          </cell>
          <cell r="D1179">
            <v>0</v>
          </cell>
          <cell r="E1179">
            <v>0</v>
          </cell>
          <cell r="F1179">
            <v>0</v>
          </cell>
          <cell r="G1179">
            <v>0</v>
          </cell>
          <cell r="H1179">
            <v>0</v>
          </cell>
          <cell r="I1179">
            <v>0</v>
          </cell>
          <cell r="J1179">
            <v>0</v>
          </cell>
          <cell r="K1179">
            <v>9</v>
          </cell>
          <cell r="L1179">
            <v>0</v>
          </cell>
          <cell r="M1179">
            <v>0</v>
          </cell>
        </row>
        <row r="1180">
          <cell r="C1180">
            <v>0</v>
          </cell>
          <cell r="D1180">
            <v>0</v>
          </cell>
          <cell r="E1180">
            <v>0</v>
          </cell>
          <cell r="F1180">
            <v>0</v>
          </cell>
          <cell r="G1180">
            <v>0</v>
          </cell>
          <cell r="H1180">
            <v>0</v>
          </cell>
          <cell r="I1180">
            <v>0</v>
          </cell>
          <cell r="J1180">
            <v>0</v>
          </cell>
          <cell r="K1180">
            <v>9</v>
          </cell>
          <cell r="L1180">
            <v>0</v>
          </cell>
          <cell r="M1180">
            <v>0</v>
          </cell>
        </row>
        <row r="1181">
          <cell r="C1181">
            <v>0</v>
          </cell>
          <cell r="D1181">
            <v>0</v>
          </cell>
          <cell r="E1181">
            <v>0</v>
          </cell>
          <cell r="F1181">
            <v>0</v>
          </cell>
          <cell r="G1181">
            <v>0</v>
          </cell>
          <cell r="H1181">
            <v>0</v>
          </cell>
          <cell r="I1181">
            <v>0</v>
          </cell>
          <cell r="J1181">
            <v>0</v>
          </cell>
          <cell r="K1181">
            <v>9</v>
          </cell>
          <cell r="L1181">
            <v>0</v>
          </cell>
          <cell r="M1181">
            <v>0</v>
          </cell>
        </row>
        <row r="1182">
          <cell r="C1182">
            <v>0</v>
          </cell>
          <cell r="D1182">
            <v>0</v>
          </cell>
          <cell r="E1182">
            <v>0</v>
          </cell>
          <cell r="F1182">
            <v>0</v>
          </cell>
          <cell r="G1182">
            <v>0</v>
          </cell>
          <cell r="H1182">
            <v>0</v>
          </cell>
          <cell r="I1182">
            <v>0</v>
          </cell>
          <cell r="J1182">
            <v>0</v>
          </cell>
          <cell r="K1182">
            <v>9</v>
          </cell>
          <cell r="L1182">
            <v>0</v>
          </cell>
          <cell r="M1182">
            <v>0</v>
          </cell>
        </row>
        <row r="1183">
          <cell r="C1183">
            <v>0</v>
          </cell>
          <cell r="D1183">
            <v>0</v>
          </cell>
          <cell r="E1183">
            <v>0</v>
          </cell>
          <cell r="F1183">
            <v>0</v>
          </cell>
          <cell r="G1183">
            <v>0</v>
          </cell>
          <cell r="H1183">
            <v>0</v>
          </cell>
          <cell r="I1183">
            <v>0</v>
          </cell>
          <cell r="J1183">
            <v>0</v>
          </cell>
          <cell r="K1183">
            <v>9</v>
          </cell>
          <cell r="L1183">
            <v>0</v>
          </cell>
          <cell r="M1183">
            <v>0</v>
          </cell>
        </row>
        <row r="1184">
          <cell r="C1184">
            <v>0</v>
          </cell>
          <cell r="D1184">
            <v>0</v>
          </cell>
          <cell r="E1184">
            <v>0</v>
          </cell>
          <cell r="F1184">
            <v>0</v>
          </cell>
          <cell r="G1184">
            <v>0</v>
          </cell>
          <cell r="H1184">
            <v>0</v>
          </cell>
          <cell r="I1184">
            <v>0</v>
          </cell>
          <cell r="J1184">
            <v>0</v>
          </cell>
          <cell r="K1184">
            <v>9</v>
          </cell>
          <cell r="L1184">
            <v>0</v>
          </cell>
          <cell r="M1184">
            <v>0</v>
          </cell>
        </row>
        <row r="1185">
          <cell r="C1185">
            <v>0</v>
          </cell>
          <cell r="D1185">
            <v>0</v>
          </cell>
          <cell r="E1185">
            <v>0</v>
          </cell>
          <cell r="F1185">
            <v>0</v>
          </cell>
          <cell r="G1185">
            <v>0</v>
          </cell>
          <cell r="H1185">
            <v>0</v>
          </cell>
          <cell r="I1185">
            <v>0</v>
          </cell>
          <cell r="J1185">
            <v>0</v>
          </cell>
          <cell r="K1185">
            <v>9</v>
          </cell>
          <cell r="L1185">
            <v>0</v>
          </cell>
          <cell r="M1185">
            <v>0</v>
          </cell>
        </row>
        <row r="1186">
          <cell r="C1186">
            <v>0</v>
          </cell>
          <cell r="D1186">
            <v>0</v>
          </cell>
          <cell r="E1186">
            <v>0</v>
          </cell>
          <cell r="F1186">
            <v>0</v>
          </cell>
          <cell r="G1186">
            <v>0</v>
          </cell>
          <cell r="H1186">
            <v>0</v>
          </cell>
          <cell r="I1186">
            <v>0</v>
          </cell>
          <cell r="J1186">
            <v>0</v>
          </cell>
          <cell r="K1186">
            <v>9</v>
          </cell>
          <cell r="L1186">
            <v>0</v>
          </cell>
          <cell r="M1186">
            <v>0</v>
          </cell>
        </row>
        <row r="1187">
          <cell r="C1187">
            <v>0</v>
          </cell>
          <cell r="D1187">
            <v>0</v>
          </cell>
          <cell r="E1187">
            <v>0</v>
          </cell>
          <cell r="F1187">
            <v>0</v>
          </cell>
          <cell r="G1187">
            <v>0</v>
          </cell>
          <cell r="H1187">
            <v>0</v>
          </cell>
          <cell r="I1187">
            <v>0</v>
          </cell>
          <cell r="J1187">
            <v>0</v>
          </cell>
          <cell r="K1187">
            <v>9</v>
          </cell>
          <cell r="L1187">
            <v>0</v>
          </cell>
          <cell r="M1187">
            <v>0</v>
          </cell>
        </row>
        <row r="1188">
          <cell r="C1188">
            <v>0</v>
          </cell>
          <cell r="D1188">
            <v>0</v>
          </cell>
          <cell r="E1188">
            <v>0</v>
          </cell>
          <cell r="F1188">
            <v>0</v>
          </cell>
          <cell r="G1188">
            <v>0</v>
          </cell>
          <cell r="H1188">
            <v>0</v>
          </cell>
          <cell r="I1188">
            <v>0</v>
          </cell>
          <cell r="J1188">
            <v>0</v>
          </cell>
          <cell r="K1188">
            <v>9</v>
          </cell>
          <cell r="L1188">
            <v>0</v>
          </cell>
          <cell r="M1188">
            <v>0</v>
          </cell>
        </row>
        <row r="1189">
          <cell r="C1189">
            <v>0</v>
          </cell>
          <cell r="D1189">
            <v>0</v>
          </cell>
          <cell r="E1189">
            <v>0</v>
          </cell>
          <cell r="F1189">
            <v>0</v>
          </cell>
          <cell r="G1189">
            <v>0</v>
          </cell>
          <cell r="H1189">
            <v>0</v>
          </cell>
          <cell r="I1189">
            <v>0</v>
          </cell>
          <cell r="J1189">
            <v>0</v>
          </cell>
          <cell r="K1189">
            <v>9</v>
          </cell>
          <cell r="L1189">
            <v>0</v>
          </cell>
          <cell r="M1189">
            <v>0</v>
          </cell>
        </row>
        <row r="1190">
          <cell r="C1190">
            <v>0</v>
          </cell>
          <cell r="D1190">
            <v>0</v>
          </cell>
          <cell r="E1190">
            <v>0</v>
          </cell>
          <cell r="F1190">
            <v>0</v>
          </cell>
          <cell r="G1190">
            <v>0</v>
          </cell>
          <cell r="H1190">
            <v>0</v>
          </cell>
          <cell r="I1190">
            <v>0</v>
          </cell>
          <cell r="J1190">
            <v>0</v>
          </cell>
          <cell r="K1190">
            <v>9</v>
          </cell>
          <cell r="L1190">
            <v>0</v>
          </cell>
          <cell r="M1190">
            <v>0</v>
          </cell>
        </row>
        <row r="1191">
          <cell r="C1191">
            <v>0</v>
          </cell>
          <cell r="D1191">
            <v>0</v>
          </cell>
          <cell r="E1191">
            <v>0</v>
          </cell>
          <cell r="F1191">
            <v>0</v>
          </cell>
          <cell r="G1191">
            <v>0</v>
          </cell>
          <cell r="H1191">
            <v>0</v>
          </cell>
          <cell r="I1191">
            <v>0</v>
          </cell>
          <cell r="J1191">
            <v>0</v>
          </cell>
          <cell r="K1191">
            <v>9</v>
          </cell>
          <cell r="L1191">
            <v>0</v>
          </cell>
          <cell r="M1191">
            <v>0</v>
          </cell>
        </row>
        <row r="1192">
          <cell r="C1192">
            <v>0</v>
          </cell>
          <cell r="D1192">
            <v>0</v>
          </cell>
          <cell r="E1192">
            <v>0</v>
          </cell>
          <cell r="F1192">
            <v>0</v>
          </cell>
          <cell r="G1192">
            <v>0</v>
          </cell>
          <cell r="H1192">
            <v>0</v>
          </cell>
          <cell r="I1192">
            <v>0</v>
          </cell>
          <cell r="J1192">
            <v>0</v>
          </cell>
          <cell r="K1192">
            <v>9</v>
          </cell>
          <cell r="L1192">
            <v>0</v>
          </cell>
          <cell r="M1192">
            <v>0</v>
          </cell>
        </row>
        <row r="1193">
          <cell r="C1193">
            <v>0</v>
          </cell>
          <cell r="D1193">
            <v>0</v>
          </cell>
          <cell r="E1193">
            <v>0</v>
          </cell>
          <cell r="F1193">
            <v>0</v>
          </cell>
          <cell r="G1193">
            <v>0</v>
          </cell>
          <cell r="H1193">
            <v>0</v>
          </cell>
          <cell r="I1193">
            <v>0</v>
          </cell>
          <cell r="J1193">
            <v>0</v>
          </cell>
          <cell r="K1193">
            <v>9</v>
          </cell>
          <cell r="L1193">
            <v>0</v>
          </cell>
          <cell r="M1193">
            <v>0</v>
          </cell>
        </row>
        <row r="1194">
          <cell r="C1194">
            <v>0</v>
          </cell>
          <cell r="D1194">
            <v>0</v>
          </cell>
          <cell r="E1194">
            <v>0</v>
          </cell>
          <cell r="F1194">
            <v>0</v>
          </cell>
          <cell r="G1194">
            <v>0</v>
          </cell>
          <cell r="H1194">
            <v>0</v>
          </cell>
          <cell r="I1194">
            <v>0</v>
          </cell>
          <cell r="J1194">
            <v>0</v>
          </cell>
          <cell r="K1194">
            <v>9</v>
          </cell>
          <cell r="L1194">
            <v>0</v>
          </cell>
          <cell r="M1194">
            <v>0</v>
          </cell>
        </row>
        <row r="1195">
          <cell r="C1195">
            <v>0</v>
          </cell>
          <cell r="D1195">
            <v>0</v>
          </cell>
          <cell r="E1195">
            <v>0</v>
          </cell>
          <cell r="F1195">
            <v>0</v>
          </cell>
          <cell r="G1195">
            <v>0</v>
          </cell>
          <cell r="H1195">
            <v>0</v>
          </cell>
          <cell r="I1195">
            <v>0</v>
          </cell>
          <cell r="J1195">
            <v>0</v>
          </cell>
          <cell r="K1195">
            <v>9</v>
          </cell>
          <cell r="L1195">
            <v>0</v>
          </cell>
          <cell r="M1195">
            <v>0</v>
          </cell>
        </row>
        <row r="1196">
          <cell r="C1196">
            <v>0</v>
          </cell>
          <cell r="D1196">
            <v>0</v>
          </cell>
          <cell r="E1196">
            <v>0</v>
          </cell>
          <cell r="F1196">
            <v>0</v>
          </cell>
          <cell r="G1196">
            <v>0</v>
          </cell>
          <cell r="H1196">
            <v>0</v>
          </cell>
          <cell r="I1196">
            <v>0</v>
          </cell>
          <cell r="J1196">
            <v>0</v>
          </cell>
          <cell r="K1196">
            <v>9</v>
          </cell>
          <cell r="L1196">
            <v>0</v>
          </cell>
          <cell r="M1196">
            <v>0</v>
          </cell>
        </row>
        <row r="1197">
          <cell r="C1197">
            <v>0</v>
          </cell>
          <cell r="D1197">
            <v>0</v>
          </cell>
          <cell r="E1197">
            <v>0</v>
          </cell>
          <cell r="F1197">
            <v>0</v>
          </cell>
          <cell r="G1197">
            <v>0</v>
          </cell>
          <cell r="H1197">
            <v>0</v>
          </cell>
          <cell r="I1197">
            <v>0</v>
          </cell>
          <cell r="J1197">
            <v>0</v>
          </cell>
          <cell r="K1197">
            <v>9</v>
          </cell>
          <cell r="L1197">
            <v>0</v>
          </cell>
          <cell r="M1197">
            <v>0</v>
          </cell>
        </row>
        <row r="1198">
          <cell r="C1198">
            <v>0</v>
          </cell>
          <cell r="D1198">
            <v>0</v>
          </cell>
          <cell r="E1198">
            <v>0</v>
          </cell>
          <cell r="F1198">
            <v>0</v>
          </cell>
          <cell r="G1198">
            <v>0</v>
          </cell>
          <cell r="H1198">
            <v>0</v>
          </cell>
          <cell r="I1198">
            <v>0</v>
          </cell>
          <cell r="J1198">
            <v>0</v>
          </cell>
          <cell r="K1198">
            <v>9</v>
          </cell>
          <cell r="L1198">
            <v>0</v>
          </cell>
          <cell r="M1198">
            <v>0</v>
          </cell>
        </row>
        <row r="1199">
          <cell r="C1199">
            <v>0</v>
          </cell>
          <cell r="D1199">
            <v>0</v>
          </cell>
          <cell r="E1199">
            <v>0</v>
          </cell>
          <cell r="F1199">
            <v>0</v>
          </cell>
          <cell r="G1199">
            <v>0</v>
          </cell>
          <cell r="H1199">
            <v>0</v>
          </cell>
          <cell r="I1199">
            <v>0</v>
          </cell>
          <cell r="J1199">
            <v>0</v>
          </cell>
          <cell r="K1199">
            <v>9</v>
          </cell>
          <cell r="L1199">
            <v>0</v>
          </cell>
          <cell r="M1199">
            <v>0</v>
          </cell>
        </row>
        <row r="1200">
          <cell r="C1200">
            <v>0</v>
          </cell>
          <cell r="D1200">
            <v>0</v>
          </cell>
          <cell r="E1200">
            <v>0</v>
          </cell>
          <cell r="F1200">
            <v>0</v>
          </cell>
          <cell r="G1200">
            <v>0</v>
          </cell>
          <cell r="H1200">
            <v>0</v>
          </cell>
          <cell r="I1200">
            <v>0</v>
          </cell>
          <cell r="J1200">
            <v>0</v>
          </cell>
          <cell r="K1200">
            <v>9</v>
          </cell>
          <cell r="L1200">
            <v>0</v>
          </cell>
          <cell r="M1200">
            <v>0</v>
          </cell>
        </row>
        <row r="1201">
          <cell r="C1201">
            <v>0</v>
          </cell>
          <cell r="D1201">
            <v>0</v>
          </cell>
          <cell r="E1201">
            <v>0</v>
          </cell>
          <cell r="F1201">
            <v>0</v>
          </cell>
          <cell r="G1201">
            <v>0</v>
          </cell>
          <cell r="H1201">
            <v>0</v>
          </cell>
          <cell r="I1201">
            <v>0</v>
          </cell>
          <cell r="J1201">
            <v>0</v>
          </cell>
          <cell r="K1201">
            <v>9</v>
          </cell>
          <cell r="L1201">
            <v>0</v>
          </cell>
          <cell r="M1201">
            <v>0</v>
          </cell>
        </row>
        <row r="1202">
          <cell r="C1202">
            <v>0</v>
          </cell>
          <cell r="D1202">
            <v>0</v>
          </cell>
          <cell r="E1202">
            <v>0</v>
          </cell>
          <cell r="F1202">
            <v>0</v>
          </cell>
          <cell r="G1202">
            <v>0</v>
          </cell>
          <cell r="H1202">
            <v>0</v>
          </cell>
          <cell r="I1202">
            <v>0</v>
          </cell>
          <cell r="J1202">
            <v>0</v>
          </cell>
          <cell r="K1202">
            <v>9</v>
          </cell>
          <cell r="L1202">
            <v>0</v>
          </cell>
          <cell r="M1202">
            <v>0</v>
          </cell>
        </row>
        <row r="1203">
          <cell r="C1203">
            <v>0</v>
          </cell>
          <cell r="D1203">
            <v>0</v>
          </cell>
          <cell r="E1203">
            <v>0</v>
          </cell>
          <cell r="F1203">
            <v>0</v>
          </cell>
          <cell r="G1203">
            <v>0</v>
          </cell>
          <cell r="H1203">
            <v>0</v>
          </cell>
          <cell r="I1203">
            <v>0</v>
          </cell>
          <cell r="J1203">
            <v>0</v>
          </cell>
          <cell r="K1203">
            <v>9</v>
          </cell>
          <cell r="L1203">
            <v>0</v>
          </cell>
          <cell r="M1203">
            <v>0</v>
          </cell>
        </row>
        <row r="1204">
          <cell r="C1204">
            <v>0</v>
          </cell>
          <cell r="D1204">
            <v>0</v>
          </cell>
          <cell r="E1204">
            <v>0</v>
          </cell>
          <cell r="F1204">
            <v>0</v>
          </cell>
          <cell r="G1204">
            <v>0</v>
          </cell>
          <cell r="H1204">
            <v>0</v>
          </cell>
          <cell r="I1204">
            <v>0</v>
          </cell>
          <cell r="J1204">
            <v>0</v>
          </cell>
          <cell r="K1204">
            <v>9</v>
          </cell>
          <cell r="L1204">
            <v>0</v>
          </cell>
          <cell r="M1204">
            <v>0</v>
          </cell>
        </row>
        <row r="1205">
          <cell r="C1205">
            <v>0</v>
          </cell>
          <cell r="D1205">
            <v>0</v>
          </cell>
          <cell r="E1205">
            <v>0</v>
          </cell>
          <cell r="F1205">
            <v>0</v>
          </cell>
          <cell r="G1205">
            <v>0</v>
          </cell>
          <cell r="H1205">
            <v>0</v>
          </cell>
          <cell r="I1205">
            <v>0</v>
          </cell>
          <cell r="J1205">
            <v>0</v>
          </cell>
          <cell r="K1205">
            <v>9</v>
          </cell>
          <cell r="L1205">
            <v>0</v>
          </cell>
          <cell r="M1205">
            <v>0</v>
          </cell>
        </row>
        <row r="1206">
          <cell r="C1206">
            <v>0</v>
          </cell>
          <cell r="D1206">
            <v>0</v>
          </cell>
          <cell r="E1206">
            <v>0</v>
          </cell>
          <cell r="F1206">
            <v>0</v>
          </cell>
          <cell r="G1206">
            <v>0</v>
          </cell>
          <cell r="H1206">
            <v>0</v>
          </cell>
          <cell r="I1206">
            <v>0</v>
          </cell>
          <cell r="J1206">
            <v>0</v>
          </cell>
          <cell r="K1206">
            <v>9</v>
          </cell>
          <cell r="L1206">
            <v>0</v>
          </cell>
          <cell r="M1206">
            <v>0</v>
          </cell>
        </row>
        <row r="1207">
          <cell r="C1207">
            <v>0</v>
          </cell>
          <cell r="D1207">
            <v>0</v>
          </cell>
          <cell r="E1207">
            <v>0</v>
          </cell>
          <cell r="F1207">
            <v>0</v>
          </cell>
          <cell r="G1207">
            <v>0</v>
          </cell>
          <cell r="H1207">
            <v>0</v>
          </cell>
          <cell r="I1207">
            <v>0</v>
          </cell>
          <cell r="J1207">
            <v>0</v>
          </cell>
          <cell r="K1207">
            <v>9</v>
          </cell>
          <cell r="L1207">
            <v>0</v>
          </cell>
          <cell r="M1207">
            <v>0</v>
          </cell>
        </row>
        <row r="1208">
          <cell r="C1208">
            <v>0</v>
          </cell>
          <cell r="D1208">
            <v>0</v>
          </cell>
          <cell r="E1208">
            <v>0</v>
          </cell>
          <cell r="F1208">
            <v>0</v>
          </cell>
          <cell r="G1208">
            <v>0</v>
          </cell>
          <cell r="H1208">
            <v>0</v>
          </cell>
          <cell r="I1208">
            <v>0</v>
          </cell>
          <cell r="J1208">
            <v>0</v>
          </cell>
          <cell r="K1208">
            <v>9</v>
          </cell>
          <cell r="L1208">
            <v>0</v>
          </cell>
          <cell r="M1208">
            <v>0</v>
          </cell>
        </row>
        <row r="1209">
          <cell r="C1209">
            <v>0</v>
          </cell>
          <cell r="D1209">
            <v>0</v>
          </cell>
          <cell r="E1209">
            <v>0</v>
          </cell>
          <cell r="F1209">
            <v>0</v>
          </cell>
          <cell r="G1209">
            <v>0</v>
          </cell>
          <cell r="H1209">
            <v>0</v>
          </cell>
          <cell r="I1209">
            <v>0</v>
          </cell>
          <cell r="J1209">
            <v>0</v>
          </cell>
          <cell r="K1209">
            <v>9</v>
          </cell>
          <cell r="L1209">
            <v>0</v>
          </cell>
          <cell r="M1209">
            <v>0</v>
          </cell>
        </row>
        <row r="1210">
          <cell r="C1210">
            <v>0</v>
          </cell>
          <cell r="D1210">
            <v>0</v>
          </cell>
          <cell r="E1210">
            <v>0</v>
          </cell>
          <cell r="F1210">
            <v>0</v>
          </cell>
          <cell r="G1210">
            <v>0</v>
          </cell>
          <cell r="H1210">
            <v>0</v>
          </cell>
          <cell r="I1210">
            <v>0</v>
          </cell>
          <cell r="J1210">
            <v>0</v>
          </cell>
          <cell r="K1210">
            <v>9</v>
          </cell>
          <cell r="L1210">
            <v>0</v>
          </cell>
          <cell r="M1210">
            <v>0</v>
          </cell>
        </row>
        <row r="1211">
          <cell r="C1211">
            <v>0</v>
          </cell>
          <cell r="D1211">
            <v>0</v>
          </cell>
          <cell r="E1211">
            <v>0</v>
          </cell>
          <cell r="F1211">
            <v>0</v>
          </cell>
          <cell r="G1211">
            <v>0</v>
          </cell>
          <cell r="H1211">
            <v>0</v>
          </cell>
          <cell r="I1211">
            <v>0</v>
          </cell>
          <cell r="J1211">
            <v>0</v>
          </cell>
          <cell r="K1211">
            <v>9</v>
          </cell>
          <cell r="L1211">
            <v>0</v>
          </cell>
          <cell r="M1211">
            <v>0</v>
          </cell>
        </row>
        <row r="1212">
          <cell r="C1212">
            <v>0</v>
          </cell>
          <cell r="D1212">
            <v>0</v>
          </cell>
          <cell r="E1212">
            <v>0</v>
          </cell>
          <cell r="F1212">
            <v>0</v>
          </cell>
          <cell r="G1212">
            <v>0</v>
          </cell>
          <cell r="H1212">
            <v>0</v>
          </cell>
          <cell r="I1212">
            <v>0</v>
          </cell>
          <cell r="J1212">
            <v>0</v>
          </cell>
          <cell r="K1212">
            <v>9</v>
          </cell>
          <cell r="L1212">
            <v>0</v>
          </cell>
          <cell r="M1212">
            <v>0</v>
          </cell>
        </row>
        <row r="1213">
          <cell r="C1213">
            <v>0</v>
          </cell>
          <cell r="D1213">
            <v>0</v>
          </cell>
          <cell r="E1213">
            <v>0</v>
          </cell>
          <cell r="F1213">
            <v>0</v>
          </cell>
          <cell r="G1213">
            <v>0</v>
          </cell>
          <cell r="H1213">
            <v>0</v>
          </cell>
          <cell r="I1213">
            <v>0</v>
          </cell>
          <cell r="J1213">
            <v>0</v>
          </cell>
          <cell r="K1213">
            <v>9</v>
          </cell>
          <cell r="L1213">
            <v>0</v>
          </cell>
          <cell r="M1213">
            <v>0</v>
          </cell>
        </row>
        <row r="1214">
          <cell r="C1214">
            <v>0</v>
          </cell>
          <cell r="D1214">
            <v>0</v>
          </cell>
          <cell r="E1214">
            <v>0</v>
          </cell>
          <cell r="F1214">
            <v>0</v>
          </cell>
          <cell r="G1214">
            <v>0</v>
          </cell>
          <cell r="H1214">
            <v>0</v>
          </cell>
          <cell r="I1214">
            <v>0</v>
          </cell>
          <cell r="J1214">
            <v>0</v>
          </cell>
          <cell r="K1214">
            <v>9</v>
          </cell>
          <cell r="L1214">
            <v>0</v>
          </cell>
          <cell r="M1214">
            <v>0</v>
          </cell>
        </row>
        <row r="1215">
          <cell r="C1215">
            <v>0</v>
          </cell>
          <cell r="D1215">
            <v>0</v>
          </cell>
          <cell r="E1215">
            <v>0</v>
          </cell>
          <cell r="F1215">
            <v>0</v>
          </cell>
          <cell r="G1215">
            <v>0</v>
          </cell>
          <cell r="H1215">
            <v>0</v>
          </cell>
          <cell r="I1215">
            <v>0</v>
          </cell>
          <cell r="J1215">
            <v>0</v>
          </cell>
          <cell r="K1215">
            <v>9</v>
          </cell>
          <cell r="L1215">
            <v>0</v>
          </cell>
          <cell r="M1215">
            <v>0</v>
          </cell>
        </row>
        <row r="1216">
          <cell r="C1216">
            <v>0</v>
          </cell>
          <cell r="D1216">
            <v>0</v>
          </cell>
          <cell r="E1216">
            <v>0</v>
          </cell>
          <cell r="F1216">
            <v>0</v>
          </cell>
          <cell r="G1216">
            <v>0</v>
          </cell>
          <cell r="H1216">
            <v>0</v>
          </cell>
          <cell r="I1216">
            <v>0</v>
          </cell>
          <cell r="J1216">
            <v>0</v>
          </cell>
          <cell r="K1216">
            <v>9</v>
          </cell>
          <cell r="L1216">
            <v>0</v>
          </cell>
          <cell r="M1216">
            <v>0</v>
          </cell>
        </row>
        <row r="1217">
          <cell r="C1217">
            <v>0</v>
          </cell>
          <cell r="D1217">
            <v>0</v>
          </cell>
          <cell r="E1217">
            <v>0</v>
          </cell>
          <cell r="F1217">
            <v>0</v>
          </cell>
          <cell r="G1217">
            <v>0</v>
          </cell>
          <cell r="H1217">
            <v>0</v>
          </cell>
          <cell r="I1217">
            <v>0</v>
          </cell>
          <cell r="J1217">
            <v>0</v>
          </cell>
          <cell r="K1217">
            <v>9</v>
          </cell>
          <cell r="L1217">
            <v>0</v>
          </cell>
          <cell r="M1217">
            <v>0</v>
          </cell>
        </row>
        <row r="1218">
          <cell r="C1218">
            <v>0</v>
          </cell>
          <cell r="D1218">
            <v>0</v>
          </cell>
          <cell r="E1218">
            <v>0</v>
          </cell>
          <cell r="F1218">
            <v>0</v>
          </cell>
          <cell r="G1218">
            <v>0</v>
          </cell>
          <cell r="H1218">
            <v>0</v>
          </cell>
          <cell r="I1218">
            <v>0</v>
          </cell>
          <cell r="J1218">
            <v>0</v>
          </cell>
          <cell r="K1218">
            <v>9</v>
          </cell>
          <cell r="L1218">
            <v>0</v>
          </cell>
          <cell r="M1218">
            <v>0</v>
          </cell>
        </row>
        <row r="1219">
          <cell r="C1219">
            <v>0</v>
          </cell>
          <cell r="D1219">
            <v>0</v>
          </cell>
          <cell r="E1219">
            <v>0</v>
          </cell>
          <cell r="F1219">
            <v>0</v>
          </cell>
          <cell r="G1219">
            <v>0</v>
          </cell>
          <cell r="H1219">
            <v>0</v>
          </cell>
          <cell r="I1219">
            <v>0</v>
          </cell>
          <cell r="J1219">
            <v>0</v>
          </cell>
          <cell r="K1219">
            <v>9</v>
          </cell>
          <cell r="L1219">
            <v>0</v>
          </cell>
          <cell r="M1219">
            <v>0</v>
          </cell>
        </row>
        <row r="1220">
          <cell r="C1220">
            <v>0</v>
          </cell>
          <cell r="D1220">
            <v>0</v>
          </cell>
          <cell r="E1220">
            <v>0</v>
          </cell>
          <cell r="F1220">
            <v>0</v>
          </cell>
          <cell r="G1220">
            <v>0</v>
          </cell>
          <cell r="H1220">
            <v>0</v>
          </cell>
          <cell r="I1220">
            <v>0</v>
          </cell>
          <cell r="J1220">
            <v>0</v>
          </cell>
          <cell r="K1220">
            <v>9</v>
          </cell>
          <cell r="L1220">
            <v>0</v>
          </cell>
          <cell r="M1220">
            <v>0</v>
          </cell>
        </row>
        <row r="1221">
          <cell r="C1221">
            <v>0</v>
          </cell>
          <cell r="D1221">
            <v>0</v>
          </cell>
          <cell r="E1221">
            <v>0</v>
          </cell>
          <cell r="F1221">
            <v>0</v>
          </cell>
          <cell r="G1221">
            <v>0</v>
          </cell>
          <cell r="H1221">
            <v>0</v>
          </cell>
          <cell r="I1221">
            <v>0</v>
          </cell>
          <cell r="J1221">
            <v>0</v>
          </cell>
          <cell r="K1221">
            <v>9</v>
          </cell>
          <cell r="L1221">
            <v>0</v>
          </cell>
          <cell r="M1221">
            <v>0</v>
          </cell>
        </row>
        <row r="1222">
          <cell r="C1222">
            <v>0</v>
          </cell>
          <cell r="D1222">
            <v>0</v>
          </cell>
          <cell r="E1222">
            <v>0</v>
          </cell>
          <cell r="F1222">
            <v>0</v>
          </cell>
          <cell r="G1222">
            <v>0</v>
          </cell>
          <cell r="H1222">
            <v>0</v>
          </cell>
          <cell r="I1222">
            <v>0</v>
          </cell>
          <cell r="J1222">
            <v>0</v>
          </cell>
          <cell r="K1222">
            <v>9</v>
          </cell>
          <cell r="L1222">
            <v>0</v>
          </cell>
          <cell r="M1222">
            <v>0</v>
          </cell>
        </row>
        <row r="1223">
          <cell r="C1223">
            <v>0</v>
          </cell>
          <cell r="D1223">
            <v>0</v>
          </cell>
          <cell r="E1223">
            <v>0</v>
          </cell>
          <cell r="F1223">
            <v>0</v>
          </cell>
          <cell r="G1223">
            <v>0</v>
          </cell>
          <cell r="H1223">
            <v>0</v>
          </cell>
          <cell r="I1223">
            <v>0</v>
          </cell>
          <cell r="J1223">
            <v>0</v>
          </cell>
          <cell r="K1223">
            <v>9</v>
          </cell>
          <cell r="L1223">
            <v>0</v>
          </cell>
          <cell r="M1223">
            <v>0</v>
          </cell>
        </row>
        <row r="1224">
          <cell r="C1224">
            <v>0</v>
          </cell>
          <cell r="D1224">
            <v>0</v>
          </cell>
          <cell r="E1224">
            <v>0</v>
          </cell>
          <cell r="F1224">
            <v>0</v>
          </cell>
          <cell r="G1224">
            <v>0</v>
          </cell>
          <cell r="H1224">
            <v>0</v>
          </cell>
          <cell r="I1224">
            <v>0</v>
          </cell>
          <cell r="J1224">
            <v>0</v>
          </cell>
          <cell r="K1224">
            <v>9</v>
          </cell>
          <cell r="L1224">
            <v>0</v>
          </cell>
          <cell r="M1224">
            <v>0</v>
          </cell>
        </row>
        <row r="1225">
          <cell r="C1225">
            <v>0</v>
          </cell>
          <cell r="D1225">
            <v>0</v>
          </cell>
          <cell r="E1225">
            <v>0</v>
          </cell>
          <cell r="F1225">
            <v>0</v>
          </cell>
          <cell r="G1225">
            <v>0</v>
          </cell>
          <cell r="H1225">
            <v>0</v>
          </cell>
          <cell r="I1225">
            <v>0</v>
          </cell>
          <cell r="J1225">
            <v>0</v>
          </cell>
          <cell r="K1225">
            <v>9</v>
          </cell>
          <cell r="L1225">
            <v>0</v>
          </cell>
          <cell r="M1225">
            <v>0</v>
          </cell>
        </row>
        <row r="1226">
          <cell r="C1226">
            <v>0</v>
          </cell>
          <cell r="D1226">
            <v>0</v>
          </cell>
          <cell r="E1226">
            <v>0</v>
          </cell>
          <cell r="F1226">
            <v>0</v>
          </cell>
          <cell r="G1226">
            <v>0</v>
          </cell>
          <cell r="H1226">
            <v>0</v>
          </cell>
          <cell r="I1226">
            <v>0</v>
          </cell>
          <cell r="J1226">
            <v>0</v>
          </cell>
          <cell r="K1226">
            <v>9</v>
          </cell>
          <cell r="L1226">
            <v>0</v>
          </cell>
          <cell r="M1226">
            <v>0</v>
          </cell>
        </row>
        <row r="1227">
          <cell r="C1227">
            <v>0</v>
          </cell>
          <cell r="D1227">
            <v>0</v>
          </cell>
          <cell r="E1227">
            <v>0</v>
          </cell>
          <cell r="F1227">
            <v>0</v>
          </cell>
          <cell r="G1227">
            <v>0</v>
          </cell>
          <cell r="H1227">
            <v>0</v>
          </cell>
          <cell r="I1227">
            <v>0</v>
          </cell>
          <cell r="J1227">
            <v>0</v>
          </cell>
          <cell r="K1227">
            <v>9</v>
          </cell>
          <cell r="L1227">
            <v>0</v>
          </cell>
          <cell r="M1227">
            <v>0</v>
          </cell>
        </row>
        <row r="1228">
          <cell r="C1228">
            <v>0</v>
          </cell>
          <cell r="D1228">
            <v>0</v>
          </cell>
          <cell r="E1228">
            <v>0</v>
          </cell>
          <cell r="F1228">
            <v>0</v>
          </cell>
          <cell r="G1228">
            <v>0</v>
          </cell>
          <cell r="H1228">
            <v>0</v>
          </cell>
          <cell r="I1228">
            <v>0</v>
          </cell>
          <cell r="J1228">
            <v>0</v>
          </cell>
          <cell r="K1228">
            <v>9</v>
          </cell>
          <cell r="L1228">
            <v>0</v>
          </cell>
          <cell r="M1228">
            <v>0</v>
          </cell>
        </row>
        <row r="1229">
          <cell r="C1229">
            <v>0</v>
          </cell>
          <cell r="D1229">
            <v>0</v>
          </cell>
          <cell r="E1229">
            <v>0</v>
          </cell>
          <cell r="F1229">
            <v>0</v>
          </cell>
          <cell r="G1229">
            <v>0</v>
          </cell>
          <cell r="H1229">
            <v>0</v>
          </cell>
          <cell r="I1229">
            <v>0</v>
          </cell>
          <cell r="J1229">
            <v>0</v>
          </cell>
          <cell r="K1229">
            <v>9</v>
          </cell>
          <cell r="L1229">
            <v>0</v>
          </cell>
          <cell r="M1229">
            <v>0</v>
          </cell>
        </row>
        <row r="1230">
          <cell r="C1230">
            <v>0</v>
          </cell>
          <cell r="D1230">
            <v>0</v>
          </cell>
          <cell r="E1230">
            <v>0</v>
          </cell>
          <cell r="F1230">
            <v>0</v>
          </cell>
          <cell r="G1230">
            <v>0</v>
          </cell>
          <cell r="H1230">
            <v>0</v>
          </cell>
          <cell r="I1230">
            <v>0</v>
          </cell>
          <cell r="J1230">
            <v>0</v>
          </cell>
          <cell r="K1230">
            <v>9</v>
          </cell>
          <cell r="L1230">
            <v>0</v>
          </cell>
          <cell r="M1230">
            <v>0</v>
          </cell>
        </row>
        <row r="1231">
          <cell r="C1231">
            <v>0</v>
          </cell>
          <cell r="D1231">
            <v>0</v>
          </cell>
          <cell r="E1231">
            <v>0</v>
          </cell>
          <cell r="F1231">
            <v>0</v>
          </cell>
          <cell r="G1231">
            <v>0</v>
          </cell>
          <cell r="H1231">
            <v>0</v>
          </cell>
          <cell r="I1231">
            <v>0</v>
          </cell>
          <cell r="J1231">
            <v>0</v>
          </cell>
          <cell r="K1231">
            <v>9</v>
          </cell>
          <cell r="L1231">
            <v>0</v>
          </cell>
          <cell r="M1231">
            <v>0</v>
          </cell>
        </row>
        <row r="1232">
          <cell r="C1232">
            <v>0</v>
          </cell>
          <cell r="D1232">
            <v>0</v>
          </cell>
          <cell r="E1232">
            <v>0</v>
          </cell>
          <cell r="F1232">
            <v>0</v>
          </cell>
          <cell r="G1232">
            <v>0</v>
          </cell>
          <cell r="H1232">
            <v>0</v>
          </cell>
          <cell r="I1232">
            <v>0</v>
          </cell>
          <cell r="J1232">
            <v>0</v>
          </cell>
          <cell r="K1232">
            <v>9</v>
          </cell>
          <cell r="L1232">
            <v>0</v>
          </cell>
          <cell r="M1232">
            <v>0</v>
          </cell>
        </row>
        <row r="1233">
          <cell r="C1233">
            <v>0</v>
          </cell>
          <cell r="D1233">
            <v>0</v>
          </cell>
          <cell r="E1233">
            <v>0</v>
          </cell>
          <cell r="F1233">
            <v>0</v>
          </cell>
          <cell r="G1233">
            <v>0</v>
          </cell>
          <cell r="H1233">
            <v>0</v>
          </cell>
          <cell r="I1233">
            <v>0</v>
          </cell>
          <cell r="J1233">
            <v>0</v>
          </cell>
          <cell r="K1233">
            <v>9</v>
          </cell>
          <cell r="L1233">
            <v>0</v>
          </cell>
          <cell r="M1233">
            <v>0</v>
          </cell>
        </row>
        <row r="1234">
          <cell r="C1234">
            <v>0</v>
          </cell>
          <cell r="D1234">
            <v>0</v>
          </cell>
          <cell r="E1234">
            <v>0</v>
          </cell>
          <cell r="F1234">
            <v>0</v>
          </cell>
          <cell r="G1234">
            <v>0</v>
          </cell>
          <cell r="H1234">
            <v>0</v>
          </cell>
          <cell r="I1234">
            <v>0</v>
          </cell>
          <cell r="J1234">
            <v>0</v>
          </cell>
          <cell r="K1234">
            <v>9</v>
          </cell>
          <cell r="L1234">
            <v>0</v>
          </cell>
          <cell r="M1234">
            <v>0</v>
          </cell>
        </row>
        <row r="1235">
          <cell r="C1235">
            <v>0</v>
          </cell>
          <cell r="D1235">
            <v>0</v>
          </cell>
          <cell r="E1235">
            <v>0</v>
          </cell>
          <cell r="F1235">
            <v>0</v>
          </cell>
          <cell r="G1235">
            <v>0</v>
          </cell>
          <cell r="H1235">
            <v>0</v>
          </cell>
          <cell r="I1235">
            <v>0</v>
          </cell>
          <cell r="J1235">
            <v>0</v>
          </cell>
          <cell r="K1235">
            <v>9</v>
          </cell>
          <cell r="L1235">
            <v>0</v>
          </cell>
          <cell r="M1235">
            <v>0</v>
          </cell>
        </row>
        <row r="1236">
          <cell r="C1236">
            <v>0</v>
          </cell>
          <cell r="D1236">
            <v>0</v>
          </cell>
          <cell r="E1236">
            <v>0</v>
          </cell>
          <cell r="F1236">
            <v>0</v>
          </cell>
          <cell r="G1236">
            <v>0</v>
          </cell>
          <cell r="H1236">
            <v>0</v>
          </cell>
          <cell r="I1236">
            <v>0</v>
          </cell>
          <cell r="J1236">
            <v>0</v>
          </cell>
          <cell r="K1236">
            <v>9</v>
          </cell>
          <cell r="L1236">
            <v>0</v>
          </cell>
          <cell r="M1236">
            <v>0</v>
          </cell>
        </row>
        <row r="1237">
          <cell r="C1237">
            <v>0</v>
          </cell>
          <cell r="D1237">
            <v>0</v>
          </cell>
          <cell r="E1237">
            <v>0</v>
          </cell>
          <cell r="F1237">
            <v>0</v>
          </cell>
          <cell r="G1237">
            <v>0</v>
          </cell>
          <cell r="H1237">
            <v>0</v>
          </cell>
          <cell r="I1237">
            <v>0</v>
          </cell>
          <cell r="J1237">
            <v>0</v>
          </cell>
          <cell r="K1237">
            <v>9</v>
          </cell>
          <cell r="L1237">
            <v>0</v>
          </cell>
          <cell r="M1237">
            <v>0</v>
          </cell>
        </row>
        <row r="1238">
          <cell r="C1238">
            <v>0</v>
          </cell>
          <cell r="D1238">
            <v>0</v>
          </cell>
          <cell r="E1238">
            <v>0</v>
          </cell>
          <cell r="F1238">
            <v>0</v>
          </cell>
          <cell r="G1238">
            <v>0</v>
          </cell>
          <cell r="H1238">
            <v>0</v>
          </cell>
          <cell r="I1238">
            <v>0</v>
          </cell>
          <cell r="J1238">
            <v>0</v>
          </cell>
          <cell r="K1238">
            <v>9</v>
          </cell>
          <cell r="L1238">
            <v>0</v>
          </cell>
          <cell r="M1238">
            <v>0</v>
          </cell>
        </row>
        <row r="1239">
          <cell r="C1239">
            <v>0</v>
          </cell>
          <cell r="D1239">
            <v>0</v>
          </cell>
          <cell r="E1239">
            <v>0</v>
          </cell>
          <cell r="F1239">
            <v>0</v>
          </cell>
          <cell r="G1239">
            <v>0</v>
          </cell>
          <cell r="H1239">
            <v>0</v>
          </cell>
          <cell r="I1239">
            <v>0</v>
          </cell>
          <cell r="J1239">
            <v>0</v>
          </cell>
          <cell r="K1239">
            <v>9</v>
          </cell>
          <cell r="L1239">
            <v>0</v>
          </cell>
          <cell r="M1239">
            <v>0</v>
          </cell>
        </row>
        <row r="1240">
          <cell r="C1240">
            <v>0</v>
          </cell>
          <cell r="D1240">
            <v>0</v>
          </cell>
          <cell r="E1240">
            <v>0</v>
          </cell>
          <cell r="F1240">
            <v>0</v>
          </cell>
          <cell r="G1240">
            <v>0</v>
          </cell>
          <cell r="H1240">
            <v>0</v>
          </cell>
          <cell r="I1240">
            <v>0</v>
          </cell>
          <cell r="J1240">
            <v>0</v>
          </cell>
          <cell r="K1240">
            <v>9</v>
          </cell>
          <cell r="L1240">
            <v>0</v>
          </cell>
          <cell r="M1240">
            <v>0</v>
          </cell>
        </row>
        <row r="1241">
          <cell r="C1241">
            <v>0</v>
          </cell>
          <cell r="D1241">
            <v>0</v>
          </cell>
          <cell r="E1241">
            <v>0</v>
          </cell>
          <cell r="F1241">
            <v>0</v>
          </cell>
          <cell r="G1241">
            <v>0</v>
          </cell>
          <cell r="H1241">
            <v>0</v>
          </cell>
          <cell r="I1241">
            <v>0</v>
          </cell>
          <cell r="J1241">
            <v>0</v>
          </cell>
          <cell r="K1241">
            <v>9</v>
          </cell>
          <cell r="L1241">
            <v>0</v>
          </cell>
          <cell r="M1241">
            <v>0</v>
          </cell>
        </row>
        <row r="1242">
          <cell r="C1242">
            <v>0</v>
          </cell>
          <cell r="D1242">
            <v>0</v>
          </cell>
          <cell r="E1242">
            <v>0</v>
          </cell>
          <cell r="F1242">
            <v>0</v>
          </cell>
          <cell r="G1242">
            <v>0</v>
          </cell>
          <cell r="H1242">
            <v>0</v>
          </cell>
          <cell r="I1242">
            <v>0</v>
          </cell>
          <cell r="J1242">
            <v>0</v>
          </cell>
          <cell r="K1242">
            <v>9</v>
          </cell>
          <cell r="L1242">
            <v>0</v>
          </cell>
          <cell r="M1242">
            <v>0</v>
          </cell>
        </row>
        <row r="1243">
          <cell r="C1243">
            <v>0</v>
          </cell>
          <cell r="D1243">
            <v>0</v>
          </cell>
          <cell r="E1243">
            <v>0</v>
          </cell>
          <cell r="F1243">
            <v>0</v>
          </cell>
          <cell r="G1243">
            <v>0</v>
          </cell>
          <cell r="H1243">
            <v>0</v>
          </cell>
          <cell r="I1243">
            <v>0</v>
          </cell>
          <cell r="J1243">
            <v>0</v>
          </cell>
          <cell r="K1243">
            <v>9</v>
          </cell>
          <cell r="L1243">
            <v>0</v>
          </cell>
          <cell r="M1243">
            <v>0</v>
          </cell>
        </row>
        <row r="1244">
          <cell r="C1244">
            <v>0</v>
          </cell>
          <cell r="D1244">
            <v>0</v>
          </cell>
          <cell r="E1244">
            <v>0</v>
          </cell>
          <cell r="F1244">
            <v>0</v>
          </cell>
          <cell r="G1244">
            <v>0</v>
          </cell>
          <cell r="H1244">
            <v>0</v>
          </cell>
          <cell r="I1244">
            <v>0</v>
          </cell>
          <cell r="J1244">
            <v>0</v>
          </cell>
          <cell r="K1244">
            <v>9</v>
          </cell>
          <cell r="L1244">
            <v>0</v>
          </cell>
          <cell r="M1244">
            <v>0</v>
          </cell>
        </row>
        <row r="1245">
          <cell r="C1245">
            <v>0</v>
          </cell>
          <cell r="D1245">
            <v>0</v>
          </cell>
          <cell r="E1245">
            <v>0</v>
          </cell>
          <cell r="F1245">
            <v>0</v>
          </cell>
          <cell r="G1245">
            <v>0</v>
          </cell>
          <cell r="H1245">
            <v>0</v>
          </cell>
          <cell r="I1245">
            <v>0</v>
          </cell>
          <cell r="J1245">
            <v>0</v>
          </cell>
          <cell r="K1245">
            <v>9</v>
          </cell>
          <cell r="L1245">
            <v>0</v>
          </cell>
          <cell r="M1245">
            <v>0</v>
          </cell>
        </row>
        <row r="1246">
          <cell r="C1246">
            <v>0</v>
          </cell>
          <cell r="D1246">
            <v>0</v>
          </cell>
          <cell r="E1246">
            <v>0</v>
          </cell>
          <cell r="F1246">
            <v>0</v>
          </cell>
          <cell r="G1246">
            <v>0</v>
          </cell>
          <cell r="H1246">
            <v>0</v>
          </cell>
          <cell r="I1246">
            <v>0</v>
          </cell>
          <cell r="J1246">
            <v>0</v>
          </cell>
          <cell r="K1246">
            <v>9</v>
          </cell>
          <cell r="L1246">
            <v>0</v>
          </cell>
          <cell r="M1246">
            <v>0</v>
          </cell>
        </row>
        <row r="1247">
          <cell r="C1247">
            <v>0</v>
          </cell>
          <cell r="D1247">
            <v>0</v>
          </cell>
          <cell r="E1247">
            <v>0</v>
          </cell>
          <cell r="F1247">
            <v>0</v>
          </cell>
          <cell r="G1247">
            <v>0</v>
          </cell>
          <cell r="H1247">
            <v>0</v>
          </cell>
          <cell r="I1247">
            <v>0</v>
          </cell>
          <cell r="J1247">
            <v>0</v>
          </cell>
          <cell r="K1247">
            <v>9</v>
          </cell>
          <cell r="L1247">
            <v>0</v>
          </cell>
          <cell r="M1247">
            <v>0</v>
          </cell>
        </row>
        <row r="1248">
          <cell r="C1248">
            <v>0</v>
          </cell>
          <cell r="D1248">
            <v>0</v>
          </cell>
          <cell r="E1248">
            <v>0</v>
          </cell>
          <cell r="F1248">
            <v>0</v>
          </cell>
          <cell r="G1248">
            <v>0</v>
          </cell>
          <cell r="H1248">
            <v>0</v>
          </cell>
          <cell r="I1248">
            <v>0</v>
          </cell>
          <cell r="J1248">
            <v>0</v>
          </cell>
          <cell r="K1248">
            <v>9</v>
          </cell>
          <cell r="L1248">
            <v>0</v>
          </cell>
          <cell r="M1248">
            <v>0</v>
          </cell>
        </row>
        <row r="1249">
          <cell r="C1249">
            <v>0</v>
          </cell>
          <cell r="D1249">
            <v>0</v>
          </cell>
          <cell r="E1249">
            <v>0</v>
          </cell>
          <cell r="F1249">
            <v>0</v>
          </cell>
          <cell r="G1249">
            <v>0</v>
          </cell>
          <cell r="H1249">
            <v>0</v>
          </cell>
          <cell r="I1249">
            <v>0</v>
          </cell>
          <cell r="J1249">
            <v>0</v>
          </cell>
          <cell r="K1249">
            <v>9</v>
          </cell>
          <cell r="L1249">
            <v>0</v>
          </cell>
          <cell r="M1249">
            <v>0</v>
          </cell>
        </row>
        <row r="1250">
          <cell r="C1250">
            <v>0</v>
          </cell>
          <cell r="D1250">
            <v>0</v>
          </cell>
          <cell r="E1250">
            <v>0</v>
          </cell>
          <cell r="F1250">
            <v>0</v>
          </cell>
          <cell r="G1250">
            <v>0</v>
          </cell>
          <cell r="H1250">
            <v>0</v>
          </cell>
          <cell r="I1250">
            <v>0</v>
          </cell>
          <cell r="J1250">
            <v>0</v>
          </cell>
          <cell r="K1250">
            <v>9</v>
          </cell>
          <cell r="L1250">
            <v>0</v>
          </cell>
          <cell r="M1250">
            <v>0</v>
          </cell>
        </row>
        <row r="1251">
          <cell r="C1251">
            <v>0</v>
          </cell>
          <cell r="D1251">
            <v>0</v>
          </cell>
          <cell r="E1251">
            <v>0</v>
          </cell>
          <cell r="F1251">
            <v>0</v>
          </cell>
          <cell r="G1251">
            <v>0</v>
          </cell>
          <cell r="H1251">
            <v>0</v>
          </cell>
          <cell r="I1251">
            <v>0</v>
          </cell>
          <cell r="J1251">
            <v>0</v>
          </cell>
          <cell r="K1251">
            <v>9</v>
          </cell>
          <cell r="L1251">
            <v>0</v>
          </cell>
          <cell r="M1251">
            <v>0</v>
          </cell>
        </row>
        <row r="1252">
          <cell r="C1252">
            <v>0</v>
          </cell>
          <cell r="D1252">
            <v>0</v>
          </cell>
          <cell r="E1252">
            <v>0</v>
          </cell>
          <cell r="F1252">
            <v>0</v>
          </cell>
          <cell r="G1252">
            <v>0</v>
          </cell>
          <cell r="H1252">
            <v>0</v>
          </cell>
          <cell r="I1252">
            <v>0</v>
          </cell>
          <cell r="J1252">
            <v>0</v>
          </cell>
          <cell r="K1252">
            <v>9</v>
          </cell>
          <cell r="L1252">
            <v>0</v>
          </cell>
          <cell r="M1252">
            <v>0</v>
          </cell>
        </row>
        <row r="1253">
          <cell r="C1253">
            <v>0</v>
          </cell>
          <cell r="D1253">
            <v>0</v>
          </cell>
          <cell r="E1253">
            <v>0</v>
          </cell>
          <cell r="F1253">
            <v>0</v>
          </cell>
          <cell r="G1253">
            <v>0</v>
          </cell>
          <cell r="H1253">
            <v>0</v>
          </cell>
          <cell r="I1253">
            <v>0</v>
          </cell>
          <cell r="J1253">
            <v>0</v>
          </cell>
          <cell r="K1253">
            <v>9</v>
          </cell>
          <cell r="L1253">
            <v>0</v>
          </cell>
          <cell r="M1253">
            <v>0</v>
          </cell>
        </row>
        <row r="1254">
          <cell r="C1254">
            <v>0</v>
          </cell>
          <cell r="D1254">
            <v>0</v>
          </cell>
          <cell r="E1254">
            <v>0</v>
          </cell>
          <cell r="F1254">
            <v>0</v>
          </cell>
          <cell r="G1254">
            <v>0</v>
          </cell>
          <cell r="H1254">
            <v>0</v>
          </cell>
          <cell r="I1254">
            <v>0</v>
          </cell>
          <cell r="J1254">
            <v>0</v>
          </cell>
          <cell r="K1254">
            <v>9</v>
          </cell>
          <cell r="L1254">
            <v>0</v>
          </cell>
          <cell r="M1254">
            <v>0</v>
          </cell>
        </row>
        <row r="1255">
          <cell r="C1255">
            <v>0</v>
          </cell>
          <cell r="D1255">
            <v>0</v>
          </cell>
          <cell r="E1255">
            <v>0</v>
          </cell>
          <cell r="F1255">
            <v>0</v>
          </cell>
          <cell r="G1255">
            <v>0</v>
          </cell>
          <cell r="H1255">
            <v>0</v>
          </cell>
          <cell r="I1255">
            <v>0</v>
          </cell>
          <cell r="J1255">
            <v>0</v>
          </cell>
          <cell r="K1255">
            <v>9</v>
          </cell>
          <cell r="L1255">
            <v>0</v>
          </cell>
          <cell r="M1255">
            <v>0</v>
          </cell>
        </row>
        <row r="1256">
          <cell r="C1256">
            <v>0</v>
          </cell>
          <cell r="D1256">
            <v>0</v>
          </cell>
          <cell r="E1256">
            <v>0</v>
          </cell>
          <cell r="F1256">
            <v>0</v>
          </cell>
          <cell r="G1256">
            <v>0</v>
          </cell>
          <cell r="H1256">
            <v>0</v>
          </cell>
          <cell r="I1256">
            <v>0</v>
          </cell>
          <cell r="J1256">
            <v>0</v>
          </cell>
          <cell r="K1256">
            <v>9</v>
          </cell>
          <cell r="L1256">
            <v>0</v>
          </cell>
          <cell r="M1256">
            <v>0</v>
          </cell>
        </row>
        <row r="1257">
          <cell r="C1257">
            <v>0</v>
          </cell>
          <cell r="D1257">
            <v>0</v>
          </cell>
          <cell r="E1257">
            <v>0</v>
          </cell>
          <cell r="F1257">
            <v>0</v>
          </cell>
          <cell r="G1257">
            <v>0</v>
          </cell>
          <cell r="H1257">
            <v>0</v>
          </cell>
          <cell r="I1257">
            <v>0</v>
          </cell>
          <cell r="J1257">
            <v>0</v>
          </cell>
          <cell r="K1257">
            <v>9</v>
          </cell>
          <cell r="L1257">
            <v>0</v>
          </cell>
          <cell r="M1257">
            <v>0</v>
          </cell>
        </row>
        <row r="1258">
          <cell r="C1258">
            <v>0</v>
          </cell>
          <cell r="D1258">
            <v>0</v>
          </cell>
          <cell r="E1258">
            <v>0</v>
          </cell>
          <cell r="F1258">
            <v>0</v>
          </cell>
          <cell r="G1258">
            <v>0</v>
          </cell>
          <cell r="H1258">
            <v>0</v>
          </cell>
          <cell r="I1258">
            <v>0</v>
          </cell>
          <cell r="J1258">
            <v>0</v>
          </cell>
          <cell r="K1258">
            <v>9</v>
          </cell>
          <cell r="L1258">
            <v>0</v>
          </cell>
          <cell r="M1258">
            <v>0</v>
          </cell>
        </row>
        <row r="1259">
          <cell r="C1259">
            <v>0</v>
          </cell>
          <cell r="D1259">
            <v>0</v>
          </cell>
          <cell r="E1259">
            <v>0</v>
          </cell>
          <cell r="F1259">
            <v>0</v>
          </cell>
          <cell r="G1259">
            <v>0</v>
          </cell>
          <cell r="H1259">
            <v>0</v>
          </cell>
          <cell r="I1259">
            <v>0</v>
          </cell>
          <cell r="J1259">
            <v>0</v>
          </cell>
          <cell r="K1259">
            <v>9</v>
          </cell>
          <cell r="L1259">
            <v>0</v>
          </cell>
          <cell r="M1259">
            <v>0</v>
          </cell>
        </row>
        <row r="1260">
          <cell r="C1260">
            <v>0</v>
          </cell>
          <cell r="D1260">
            <v>0</v>
          </cell>
          <cell r="E1260">
            <v>0</v>
          </cell>
          <cell r="F1260">
            <v>0</v>
          </cell>
          <cell r="G1260">
            <v>0</v>
          </cell>
          <cell r="H1260">
            <v>0</v>
          </cell>
          <cell r="I1260">
            <v>0</v>
          </cell>
          <cell r="J1260">
            <v>0</v>
          </cell>
          <cell r="K1260">
            <v>9</v>
          </cell>
          <cell r="L1260">
            <v>0</v>
          </cell>
          <cell r="M1260">
            <v>0</v>
          </cell>
        </row>
        <row r="1261">
          <cell r="C1261">
            <v>0</v>
          </cell>
          <cell r="D1261">
            <v>0</v>
          </cell>
          <cell r="E1261">
            <v>0</v>
          </cell>
          <cell r="F1261">
            <v>0</v>
          </cell>
          <cell r="G1261">
            <v>0</v>
          </cell>
          <cell r="H1261">
            <v>0</v>
          </cell>
          <cell r="I1261">
            <v>0</v>
          </cell>
          <cell r="J1261">
            <v>0</v>
          </cell>
          <cell r="K1261">
            <v>9</v>
          </cell>
          <cell r="L1261">
            <v>0</v>
          </cell>
          <cell r="M1261">
            <v>0</v>
          </cell>
        </row>
        <row r="1262">
          <cell r="C1262">
            <v>0</v>
          </cell>
          <cell r="D1262">
            <v>0</v>
          </cell>
          <cell r="E1262">
            <v>0</v>
          </cell>
          <cell r="F1262">
            <v>0</v>
          </cell>
          <cell r="G1262">
            <v>0</v>
          </cell>
          <cell r="H1262">
            <v>0</v>
          </cell>
          <cell r="I1262">
            <v>0</v>
          </cell>
          <cell r="J1262">
            <v>0</v>
          </cell>
          <cell r="K1262">
            <v>9</v>
          </cell>
          <cell r="L1262">
            <v>0</v>
          </cell>
          <cell r="M1262">
            <v>0</v>
          </cell>
        </row>
        <row r="1263">
          <cell r="C1263">
            <v>0</v>
          </cell>
          <cell r="D1263">
            <v>0</v>
          </cell>
          <cell r="E1263">
            <v>0</v>
          </cell>
          <cell r="F1263">
            <v>0</v>
          </cell>
          <cell r="G1263">
            <v>0</v>
          </cell>
          <cell r="H1263">
            <v>0</v>
          </cell>
          <cell r="I1263">
            <v>0</v>
          </cell>
          <cell r="J1263">
            <v>0</v>
          </cell>
          <cell r="K1263">
            <v>9</v>
          </cell>
          <cell r="L1263">
            <v>0</v>
          </cell>
          <cell r="M1263">
            <v>0</v>
          </cell>
        </row>
        <row r="1264">
          <cell r="C1264">
            <v>0</v>
          </cell>
          <cell r="D1264">
            <v>0</v>
          </cell>
          <cell r="E1264">
            <v>0</v>
          </cell>
          <cell r="F1264">
            <v>0</v>
          </cell>
          <cell r="G1264">
            <v>0</v>
          </cell>
          <cell r="H1264">
            <v>0</v>
          </cell>
          <cell r="I1264">
            <v>0</v>
          </cell>
          <cell r="J1264">
            <v>0</v>
          </cell>
          <cell r="K1264">
            <v>9</v>
          </cell>
          <cell r="L1264">
            <v>0</v>
          </cell>
          <cell r="M1264">
            <v>0</v>
          </cell>
        </row>
        <row r="1265">
          <cell r="C1265">
            <v>0</v>
          </cell>
          <cell r="D1265">
            <v>0</v>
          </cell>
          <cell r="E1265">
            <v>0</v>
          </cell>
          <cell r="F1265">
            <v>0</v>
          </cell>
          <cell r="G1265">
            <v>0</v>
          </cell>
          <cell r="H1265">
            <v>0</v>
          </cell>
          <cell r="I1265">
            <v>0</v>
          </cell>
          <cell r="J1265">
            <v>0</v>
          </cell>
          <cell r="K1265">
            <v>9</v>
          </cell>
          <cell r="L1265">
            <v>0</v>
          </cell>
          <cell r="M1265">
            <v>0</v>
          </cell>
        </row>
        <row r="1266">
          <cell r="C1266">
            <v>0</v>
          </cell>
          <cell r="D1266">
            <v>0</v>
          </cell>
          <cell r="E1266">
            <v>0</v>
          </cell>
          <cell r="F1266">
            <v>0</v>
          </cell>
          <cell r="G1266">
            <v>0</v>
          </cell>
          <cell r="H1266">
            <v>0</v>
          </cell>
          <cell r="I1266">
            <v>0</v>
          </cell>
          <cell r="J1266">
            <v>0</v>
          </cell>
          <cell r="K1266">
            <v>9</v>
          </cell>
          <cell r="L1266">
            <v>0</v>
          </cell>
          <cell r="M1266">
            <v>0</v>
          </cell>
        </row>
        <row r="1267">
          <cell r="C1267">
            <v>0</v>
          </cell>
          <cell r="D1267">
            <v>0</v>
          </cell>
          <cell r="E1267">
            <v>0</v>
          </cell>
          <cell r="F1267">
            <v>0</v>
          </cell>
          <cell r="G1267">
            <v>0</v>
          </cell>
          <cell r="H1267">
            <v>0</v>
          </cell>
          <cell r="I1267">
            <v>0</v>
          </cell>
          <cell r="J1267">
            <v>0</v>
          </cell>
          <cell r="K1267">
            <v>9</v>
          </cell>
          <cell r="L1267">
            <v>0</v>
          </cell>
          <cell r="M1267">
            <v>0</v>
          </cell>
        </row>
        <row r="1268">
          <cell r="C1268">
            <v>0</v>
          </cell>
          <cell r="D1268">
            <v>0</v>
          </cell>
          <cell r="E1268">
            <v>0</v>
          </cell>
          <cell r="F1268">
            <v>0</v>
          </cell>
          <cell r="G1268">
            <v>0</v>
          </cell>
          <cell r="H1268">
            <v>0</v>
          </cell>
          <cell r="I1268">
            <v>0</v>
          </cell>
          <cell r="J1268">
            <v>0</v>
          </cell>
          <cell r="K1268">
            <v>9</v>
          </cell>
          <cell r="L1268">
            <v>0</v>
          </cell>
          <cell r="M1268">
            <v>0</v>
          </cell>
        </row>
        <row r="1269">
          <cell r="C1269">
            <v>0</v>
          </cell>
          <cell r="D1269">
            <v>0</v>
          </cell>
          <cell r="E1269">
            <v>0</v>
          </cell>
          <cell r="F1269">
            <v>0</v>
          </cell>
          <cell r="G1269">
            <v>0</v>
          </cell>
          <cell r="H1269">
            <v>0</v>
          </cell>
          <cell r="I1269">
            <v>0</v>
          </cell>
          <cell r="J1269">
            <v>0</v>
          </cell>
          <cell r="K1269">
            <v>9</v>
          </cell>
          <cell r="L1269">
            <v>0</v>
          </cell>
          <cell r="M1269">
            <v>0</v>
          </cell>
        </row>
        <row r="1270">
          <cell r="C1270">
            <v>0</v>
          </cell>
          <cell r="D1270">
            <v>0</v>
          </cell>
          <cell r="E1270">
            <v>0</v>
          </cell>
          <cell r="F1270">
            <v>0</v>
          </cell>
          <cell r="G1270">
            <v>0</v>
          </cell>
          <cell r="H1270">
            <v>0</v>
          </cell>
          <cell r="I1270">
            <v>0</v>
          </cell>
          <cell r="J1270">
            <v>0</v>
          </cell>
          <cell r="K1270">
            <v>9</v>
          </cell>
          <cell r="L1270">
            <v>0</v>
          </cell>
          <cell r="M1270">
            <v>0</v>
          </cell>
        </row>
        <row r="1271">
          <cell r="C1271">
            <v>0</v>
          </cell>
          <cell r="D1271">
            <v>0</v>
          </cell>
          <cell r="E1271">
            <v>0</v>
          </cell>
          <cell r="F1271">
            <v>0</v>
          </cell>
          <cell r="G1271">
            <v>0</v>
          </cell>
          <cell r="H1271">
            <v>0</v>
          </cell>
          <cell r="I1271">
            <v>0</v>
          </cell>
          <cell r="J1271">
            <v>0</v>
          </cell>
          <cell r="K1271">
            <v>9</v>
          </cell>
          <cell r="L1271">
            <v>0</v>
          </cell>
          <cell r="M1271">
            <v>0</v>
          </cell>
        </row>
        <row r="1272">
          <cell r="C1272">
            <v>0</v>
          </cell>
          <cell r="D1272">
            <v>0</v>
          </cell>
          <cell r="E1272">
            <v>0</v>
          </cell>
          <cell r="F1272">
            <v>0</v>
          </cell>
          <cell r="G1272">
            <v>0</v>
          </cell>
          <cell r="H1272">
            <v>0</v>
          </cell>
          <cell r="I1272">
            <v>0</v>
          </cell>
          <cell r="J1272">
            <v>0</v>
          </cell>
          <cell r="K1272">
            <v>9</v>
          </cell>
          <cell r="L1272">
            <v>0</v>
          </cell>
          <cell r="M1272">
            <v>0</v>
          </cell>
        </row>
        <row r="1273">
          <cell r="C1273">
            <v>0</v>
          </cell>
          <cell r="D1273">
            <v>0</v>
          </cell>
          <cell r="E1273">
            <v>0</v>
          </cell>
          <cell r="F1273">
            <v>0</v>
          </cell>
          <cell r="G1273">
            <v>0</v>
          </cell>
          <cell r="H1273">
            <v>0</v>
          </cell>
          <cell r="I1273">
            <v>0</v>
          </cell>
          <cell r="J1273">
            <v>0</v>
          </cell>
          <cell r="K1273">
            <v>9</v>
          </cell>
          <cell r="L1273">
            <v>0</v>
          </cell>
          <cell r="M1273">
            <v>0</v>
          </cell>
        </row>
        <row r="1274">
          <cell r="C1274">
            <v>0</v>
          </cell>
          <cell r="D1274">
            <v>0</v>
          </cell>
          <cell r="E1274">
            <v>0</v>
          </cell>
          <cell r="F1274">
            <v>0</v>
          </cell>
          <cell r="G1274">
            <v>0</v>
          </cell>
          <cell r="H1274">
            <v>0</v>
          </cell>
          <cell r="I1274">
            <v>0</v>
          </cell>
          <cell r="J1274">
            <v>0</v>
          </cell>
          <cell r="K1274">
            <v>9</v>
          </cell>
          <cell r="L1274">
            <v>0</v>
          </cell>
          <cell r="M1274">
            <v>0</v>
          </cell>
        </row>
        <row r="1275">
          <cell r="C1275">
            <v>0</v>
          </cell>
          <cell r="D1275">
            <v>0</v>
          </cell>
          <cell r="E1275">
            <v>0</v>
          </cell>
          <cell r="F1275">
            <v>0</v>
          </cell>
          <cell r="G1275">
            <v>0</v>
          </cell>
          <cell r="H1275">
            <v>0</v>
          </cell>
          <cell r="I1275">
            <v>0</v>
          </cell>
          <cell r="J1275">
            <v>0</v>
          </cell>
          <cell r="K1275">
            <v>9</v>
          </cell>
          <cell r="L1275">
            <v>0</v>
          </cell>
          <cell r="M1275">
            <v>0</v>
          </cell>
        </row>
        <row r="1276">
          <cell r="C1276">
            <v>0</v>
          </cell>
          <cell r="D1276">
            <v>0</v>
          </cell>
          <cell r="E1276">
            <v>0</v>
          </cell>
          <cell r="F1276">
            <v>0</v>
          </cell>
          <cell r="G1276">
            <v>0</v>
          </cell>
          <cell r="H1276">
            <v>0</v>
          </cell>
          <cell r="I1276">
            <v>0</v>
          </cell>
          <cell r="J1276">
            <v>0</v>
          </cell>
          <cell r="K1276">
            <v>9</v>
          </cell>
          <cell r="L1276">
            <v>0</v>
          </cell>
          <cell r="M1276">
            <v>0</v>
          </cell>
        </row>
        <row r="1277">
          <cell r="C1277">
            <v>0</v>
          </cell>
          <cell r="D1277">
            <v>0</v>
          </cell>
          <cell r="E1277">
            <v>0</v>
          </cell>
          <cell r="F1277">
            <v>0</v>
          </cell>
          <cell r="G1277">
            <v>0</v>
          </cell>
          <cell r="H1277">
            <v>0</v>
          </cell>
          <cell r="I1277">
            <v>0</v>
          </cell>
          <cell r="J1277">
            <v>0</v>
          </cell>
          <cell r="K1277">
            <v>9</v>
          </cell>
          <cell r="L1277">
            <v>0</v>
          </cell>
          <cell r="M1277">
            <v>0</v>
          </cell>
        </row>
        <row r="1278">
          <cell r="C1278">
            <v>0</v>
          </cell>
          <cell r="D1278">
            <v>0</v>
          </cell>
          <cell r="E1278">
            <v>0</v>
          </cell>
          <cell r="F1278">
            <v>0</v>
          </cell>
          <cell r="G1278">
            <v>0</v>
          </cell>
          <cell r="H1278">
            <v>0</v>
          </cell>
          <cell r="I1278">
            <v>0</v>
          </cell>
          <cell r="J1278">
            <v>0</v>
          </cell>
          <cell r="K1278">
            <v>9</v>
          </cell>
          <cell r="L1278">
            <v>0</v>
          </cell>
          <cell r="M1278">
            <v>0</v>
          </cell>
        </row>
        <row r="1279">
          <cell r="C1279">
            <v>0</v>
          </cell>
          <cell r="D1279">
            <v>0</v>
          </cell>
          <cell r="E1279">
            <v>0</v>
          </cell>
          <cell r="F1279">
            <v>0</v>
          </cell>
          <cell r="G1279">
            <v>0</v>
          </cell>
          <cell r="H1279">
            <v>0</v>
          </cell>
          <cell r="I1279">
            <v>0</v>
          </cell>
          <cell r="J1279">
            <v>0</v>
          </cell>
          <cell r="K1279">
            <v>9</v>
          </cell>
          <cell r="L1279">
            <v>0</v>
          </cell>
          <cell r="M1279">
            <v>0</v>
          </cell>
        </row>
        <row r="1280">
          <cell r="C1280">
            <v>0</v>
          </cell>
          <cell r="D1280">
            <v>0</v>
          </cell>
          <cell r="E1280">
            <v>0</v>
          </cell>
          <cell r="F1280">
            <v>0</v>
          </cell>
          <cell r="G1280">
            <v>0</v>
          </cell>
          <cell r="H1280">
            <v>0</v>
          </cell>
          <cell r="I1280">
            <v>0</v>
          </cell>
          <cell r="J1280">
            <v>0</v>
          </cell>
          <cell r="K1280">
            <v>9</v>
          </cell>
          <cell r="L1280">
            <v>0</v>
          </cell>
          <cell r="M1280">
            <v>0</v>
          </cell>
        </row>
        <row r="1281">
          <cell r="C1281">
            <v>0</v>
          </cell>
          <cell r="D1281">
            <v>0</v>
          </cell>
          <cell r="E1281">
            <v>0</v>
          </cell>
          <cell r="F1281">
            <v>0</v>
          </cell>
          <cell r="G1281">
            <v>0</v>
          </cell>
          <cell r="H1281">
            <v>0</v>
          </cell>
          <cell r="I1281">
            <v>0</v>
          </cell>
          <cell r="J1281">
            <v>0</v>
          </cell>
          <cell r="K1281">
            <v>9</v>
          </cell>
          <cell r="L1281">
            <v>0</v>
          </cell>
          <cell r="M1281">
            <v>0</v>
          </cell>
        </row>
        <row r="1282">
          <cell r="C1282">
            <v>0</v>
          </cell>
          <cell r="D1282">
            <v>0</v>
          </cell>
          <cell r="E1282">
            <v>0</v>
          </cell>
          <cell r="F1282">
            <v>0</v>
          </cell>
          <cell r="G1282">
            <v>0</v>
          </cell>
          <cell r="H1282">
            <v>0</v>
          </cell>
          <cell r="I1282">
            <v>0</v>
          </cell>
          <cell r="J1282">
            <v>0</v>
          </cell>
          <cell r="K1282">
            <v>9</v>
          </cell>
          <cell r="L1282">
            <v>0</v>
          </cell>
          <cell r="M1282">
            <v>0</v>
          </cell>
        </row>
        <row r="1283">
          <cell r="C1283">
            <v>0</v>
          </cell>
          <cell r="D1283">
            <v>0</v>
          </cell>
          <cell r="E1283">
            <v>0</v>
          </cell>
          <cell r="F1283">
            <v>0</v>
          </cell>
          <cell r="G1283">
            <v>0</v>
          </cell>
          <cell r="H1283">
            <v>0</v>
          </cell>
          <cell r="I1283">
            <v>0</v>
          </cell>
          <cell r="J1283">
            <v>0</v>
          </cell>
          <cell r="K1283">
            <v>9</v>
          </cell>
          <cell r="L1283">
            <v>0</v>
          </cell>
          <cell r="M1283">
            <v>0</v>
          </cell>
        </row>
        <row r="1284">
          <cell r="C1284">
            <v>0</v>
          </cell>
          <cell r="D1284">
            <v>0</v>
          </cell>
          <cell r="E1284">
            <v>0</v>
          </cell>
          <cell r="F1284">
            <v>0</v>
          </cell>
          <cell r="G1284">
            <v>0</v>
          </cell>
          <cell r="H1284">
            <v>0</v>
          </cell>
          <cell r="I1284">
            <v>0</v>
          </cell>
          <cell r="J1284">
            <v>0</v>
          </cell>
          <cell r="K1284">
            <v>9</v>
          </cell>
          <cell r="L1284">
            <v>0</v>
          </cell>
          <cell r="M1284">
            <v>0</v>
          </cell>
        </row>
        <row r="1285">
          <cell r="C1285">
            <v>0</v>
          </cell>
          <cell r="D1285">
            <v>0</v>
          </cell>
          <cell r="E1285">
            <v>0</v>
          </cell>
          <cell r="F1285">
            <v>0</v>
          </cell>
          <cell r="G1285">
            <v>0</v>
          </cell>
          <cell r="H1285">
            <v>0</v>
          </cell>
          <cell r="I1285">
            <v>0</v>
          </cell>
          <cell r="J1285">
            <v>0</v>
          </cell>
          <cell r="K1285">
            <v>9</v>
          </cell>
          <cell r="L1285">
            <v>0</v>
          </cell>
          <cell r="M1285">
            <v>0</v>
          </cell>
        </row>
        <row r="1286">
          <cell r="C1286">
            <v>0</v>
          </cell>
          <cell r="D1286">
            <v>0</v>
          </cell>
          <cell r="E1286">
            <v>0</v>
          </cell>
          <cell r="F1286">
            <v>0</v>
          </cell>
          <cell r="G1286">
            <v>0</v>
          </cell>
          <cell r="H1286">
            <v>0</v>
          </cell>
          <cell r="I1286">
            <v>0</v>
          </cell>
          <cell r="J1286">
            <v>0</v>
          </cell>
          <cell r="K1286">
            <v>9</v>
          </cell>
          <cell r="L1286">
            <v>0</v>
          </cell>
          <cell r="M1286">
            <v>0</v>
          </cell>
        </row>
        <row r="1287">
          <cell r="C1287">
            <v>0</v>
          </cell>
          <cell r="D1287">
            <v>0</v>
          </cell>
          <cell r="E1287">
            <v>0</v>
          </cell>
          <cell r="F1287">
            <v>0</v>
          </cell>
          <cell r="G1287">
            <v>0</v>
          </cell>
          <cell r="H1287">
            <v>0</v>
          </cell>
          <cell r="I1287">
            <v>0</v>
          </cell>
          <cell r="J1287">
            <v>0</v>
          </cell>
          <cell r="K1287">
            <v>9</v>
          </cell>
          <cell r="L1287">
            <v>0</v>
          </cell>
          <cell r="M1287">
            <v>0</v>
          </cell>
        </row>
        <row r="1288">
          <cell r="C1288">
            <v>0</v>
          </cell>
          <cell r="D1288">
            <v>0</v>
          </cell>
          <cell r="E1288">
            <v>0</v>
          </cell>
          <cell r="F1288">
            <v>0</v>
          </cell>
          <cell r="G1288">
            <v>0</v>
          </cell>
          <cell r="H1288">
            <v>0</v>
          </cell>
          <cell r="I1288">
            <v>0</v>
          </cell>
          <cell r="J1288">
            <v>0</v>
          </cell>
          <cell r="K1288">
            <v>9</v>
          </cell>
          <cell r="L1288">
            <v>0</v>
          </cell>
          <cell r="M1288">
            <v>0</v>
          </cell>
        </row>
        <row r="1289">
          <cell r="C1289">
            <v>0</v>
          </cell>
          <cell r="D1289">
            <v>0</v>
          </cell>
          <cell r="E1289">
            <v>0</v>
          </cell>
          <cell r="F1289">
            <v>0</v>
          </cell>
          <cell r="G1289">
            <v>0</v>
          </cell>
          <cell r="H1289">
            <v>0</v>
          </cell>
          <cell r="I1289">
            <v>0</v>
          </cell>
          <cell r="J1289">
            <v>0</v>
          </cell>
          <cell r="K1289">
            <v>9</v>
          </cell>
          <cell r="L1289">
            <v>0</v>
          </cell>
          <cell r="M1289">
            <v>0</v>
          </cell>
        </row>
        <row r="1290">
          <cell r="C1290">
            <v>0</v>
          </cell>
          <cell r="D1290">
            <v>0</v>
          </cell>
          <cell r="E1290">
            <v>0</v>
          </cell>
          <cell r="F1290">
            <v>0</v>
          </cell>
          <cell r="G1290">
            <v>0</v>
          </cell>
          <cell r="H1290">
            <v>0</v>
          </cell>
          <cell r="I1290">
            <v>0</v>
          </cell>
          <cell r="J1290">
            <v>0</v>
          </cell>
          <cell r="K1290">
            <v>9</v>
          </cell>
          <cell r="L1290">
            <v>0</v>
          </cell>
          <cell r="M1290">
            <v>0</v>
          </cell>
        </row>
        <row r="1291">
          <cell r="C1291">
            <v>0</v>
          </cell>
          <cell r="D1291">
            <v>0</v>
          </cell>
          <cell r="E1291">
            <v>0</v>
          </cell>
          <cell r="F1291">
            <v>0</v>
          </cell>
          <cell r="G1291">
            <v>0</v>
          </cell>
          <cell r="H1291">
            <v>0</v>
          </cell>
          <cell r="I1291">
            <v>0</v>
          </cell>
          <cell r="J1291">
            <v>0</v>
          </cell>
          <cell r="K1291">
            <v>9</v>
          </cell>
          <cell r="L1291">
            <v>0</v>
          </cell>
          <cell r="M1291">
            <v>0</v>
          </cell>
        </row>
        <row r="1292">
          <cell r="C1292">
            <v>0</v>
          </cell>
          <cell r="D1292">
            <v>0</v>
          </cell>
          <cell r="E1292">
            <v>0</v>
          </cell>
          <cell r="F1292">
            <v>0</v>
          </cell>
          <cell r="G1292">
            <v>0</v>
          </cell>
          <cell r="H1292">
            <v>0</v>
          </cell>
          <cell r="I1292">
            <v>0</v>
          </cell>
          <cell r="J1292">
            <v>0</v>
          </cell>
          <cell r="K1292">
            <v>9</v>
          </cell>
          <cell r="L1292">
            <v>0</v>
          </cell>
          <cell r="M1292">
            <v>0</v>
          </cell>
        </row>
        <row r="1293">
          <cell r="C1293">
            <v>0</v>
          </cell>
          <cell r="D1293">
            <v>0</v>
          </cell>
          <cell r="E1293">
            <v>0</v>
          </cell>
          <cell r="F1293">
            <v>0</v>
          </cell>
          <cell r="G1293">
            <v>0</v>
          </cell>
          <cell r="H1293">
            <v>0</v>
          </cell>
          <cell r="I1293">
            <v>0</v>
          </cell>
          <cell r="J1293">
            <v>0</v>
          </cell>
          <cell r="K1293">
            <v>9</v>
          </cell>
          <cell r="L1293">
            <v>0</v>
          </cell>
          <cell r="M1293">
            <v>0</v>
          </cell>
        </row>
        <row r="1294">
          <cell r="C1294">
            <v>0</v>
          </cell>
          <cell r="D1294">
            <v>0</v>
          </cell>
          <cell r="E1294">
            <v>0</v>
          </cell>
          <cell r="F1294">
            <v>0</v>
          </cell>
          <cell r="G1294">
            <v>0</v>
          </cell>
          <cell r="H1294">
            <v>0</v>
          </cell>
          <cell r="I1294">
            <v>0</v>
          </cell>
          <cell r="J1294">
            <v>0</v>
          </cell>
          <cell r="K1294">
            <v>9</v>
          </cell>
          <cell r="L1294">
            <v>0</v>
          </cell>
          <cell r="M1294">
            <v>0</v>
          </cell>
        </row>
        <row r="1295">
          <cell r="C1295">
            <v>0</v>
          </cell>
          <cell r="D1295">
            <v>0</v>
          </cell>
          <cell r="E1295">
            <v>0</v>
          </cell>
          <cell r="F1295">
            <v>0</v>
          </cell>
          <cell r="G1295">
            <v>0</v>
          </cell>
          <cell r="H1295">
            <v>0</v>
          </cell>
          <cell r="I1295">
            <v>0</v>
          </cell>
          <cell r="J1295">
            <v>0</v>
          </cell>
          <cell r="K1295">
            <v>9</v>
          </cell>
          <cell r="L1295">
            <v>0</v>
          </cell>
          <cell r="M1295">
            <v>0</v>
          </cell>
        </row>
        <row r="1296">
          <cell r="C1296">
            <v>0</v>
          </cell>
          <cell r="D1296">
            <v>0</v>
          </cell>
          <cell r="E1296">
            <v>0</v>
          </cell>
          <cell r="F1296">
            <v>0</v>
          </cell>
          <cell r="G1296">
            <v>0</v>
          </cell>
          <cell r="H1296">
            <v>0</v>
          </cell>
          <cell r="I1296">
            <v>0</v>
          </cell>
          <cell r="J1296">
            <v>0</v>
          </cell>
          <cell r="K1296">
            <v>9</v>
          </cell>
          <cell r="L1296">
            <v>0</v>
          </cell>
          <cell r="M1296">
            <v>0</v>
          </cell>
        </row>
        <row r="1297">
          <cell r="C1297">
            <v>0</v>
          </cell>
          <cell r="D1297">
            <v>0</v>
          </cell>
          <cell r="E1297">
            <v>0</v>
          </cell>
          <cell r="F1297">
            <v>0</v>
          </cell>
          <cell r="G1297">
            <v>0</v>
          </cell>
          <cell r="H1297">
            <v>0</v>
          </cell>
          <cell r="I1297">
            <v>0</v>
          </cell>
          <cell r="J1297">
            <v>0</v>
          </cell>
          <cell r="K1297">
            <v>9</v>
          </cell>
          <cell r="L1297">
            <v>0</v>
          </cell>
          <cell r="M1297">
            <v>0</v>
          </cell>
        </row>
        <row r="1298">
          <cell r="C1298">
            <v>0</v>
          </cell>
          <cell r="D1298">
            <v>0</v>
          </cell>
          <cell r="E1298">
            <v>0</v>
          </cell>
          <cell r="F1298">
            <v>0</v>
          </cell>
          <cell r="G1298">
            <v>0</v>
          </cell>
          <cell r="H1298">
            <v>0</v>
          </cell>
          <cell r="I1298">
            <v>0</v>
          </cell>
          <cell r="J1298">
            <v>0</v>
          </cell>
          <cell r="K1298">
            <v>9</v>
          </cell>
          <cell r="L1298">
            <v>0</v>
          </cell>
          <cell r="M1298">
            <v>0</v>
          </cell>
        </row>
        <row r="1299">
          <cell r="C1299">
            <v>0</v>
          </cell>
          <cell r="D1299">
            <v>0</v>
          </cell>
          <cell r="E1299">
            <v>0</v>
          </cell>
          <cell r="F1299">
            <v>0</v>
          </cell>
          <cell r="G1299">
            <v>0</v>
          </cell>
          <cell r="H1299">
            <v>0</v>
          </cell>
          <cell r="I1299">
            <v>0</v>
          </cell>
          <cell r="J1299">
            <v>0</v>
          </cell>
          <cell r="K1299">
            <v>9</v>
          </cell>
          <cell r="L1299">
            <v>0</v>
          </cell>
          <cell r="M1299">
            <v>0</v>
          </cell>
        </row>
        <row r="1300">
          <cell r="C1300">
            <v>0</v>
          </cell>
          <cell r="D1300">
            <v>0</v>
          </cell>
          <cell r="E1300">
            <v>0</v>
          </cell>
          <cell r="F1300">
            <v>0</v>
          </cell>
          <cell r="G1300">
            <v>0</v>
          </cell>
          <cell r="H1300">
            <v>0</v>
          </cell>
          <cell r="I1300">
            <v>0</v>
          </cell>
          <cell r="J1300">
            <v>0</v>
          </cell>
          <cell r="K1300">
            <v>9</v>
          </cell>
          <cell r="L1300">
            <v>0</v>
          </cell>
          <cell r="M1300">
            <v>0</v>
          </cell>
        </row>
        <row r="1301">
          <cell r="C1301">
            <v>0</v>
          </cell>
          <cell r="D1301">
            <v>0</v>
          </cell>
          <cell r="E1301">
            <v>0</v>
          </cell>
          <cell r="F1301">
            <v>0</v>
          </cell>
          <cell r="G1301">
            <v>0</v>
          </cell>
          <cell r="H1301">
            <v>0</v>
          </cell>
          <cell r="I1301">
            <v>0</v>
          </cell>
          <cell r="J1301">
            <v>0</v>
          </cell>
          <cell r="K1301">
            <v>9</v>
          </cell>
          <cell r="L1301">
            <v>0</v>
          </cell>
          <cell r="M1301">
            <v>0</v>
          </cell>
        </row>
        <row r="1302">
          <cell r="C1302">
            <v>0</v>
          </cell>
          <cell r="D1302">
            <v>0</v>
          </cell>
          <cell r="E1302">
            <v>0</v>
          </cell>
          <cell r="F1302">
            <v>0</v>
          </cell>
          <cell r="G1302">
            <v>0</v>
          </cell>
          <cell r="H1302">
            <v>0</v>
          </cell>
          <cell r="I1302">
            <v>0</v>
          </cell>
          <cell r="J1302">
            <v>0</v>
          </cell>
          <cell r="K1302">
            <v>9</v>
          </cell>
          <cell r="L1302">
            <v>0</v>
          </cell>
          <cell r="M1302">
            <v>0</v>
          </cell>
        </row>
        <row r="1303">
          <cell r="C1303">
            <v>0</v>
          </cell>
          <cell r="D1303">
            <v>0</v>
          </cell>
          <cell r="E1303">
            <v>0</v>
          </cell>
          <cell r="F1303">
            <v>0</v>
          </cell>
          <cell r="G1303">
            <v>0</v>
          </cell>
          <cell r="H1303">
            <v>0</v>
          </cell>
          <cell r="I1303">
            <v>0</v>
          </cell>
          <cell r="J1303">
            <v>0</v>
          </cell>
          <cell r="K1303">
            <v>9</v>
          </cell>
          <cell r="L1303">
            <v>0</v>
          </cell>
          <cell r="M1303">
            <v>0</v>
          </cell>
        </row>
        <row r="1304">
          <cell r="C1304">
            <v>0</v>
          </cell>
          <cell r="D1304">
            <v>0</v>
          </cell>
          <cell r="E1304">
            <v>0</v>
          </cell>
          <cell r="F1304">
            <v>0</v>
          </cell>
          <cell r="G1304">
            <v>0</v>
          </cell>
          <cell r="H1304">
            <v>0</v>
          </cell>
          <cell r="I1304">
            <v>0</v>
          </cell>
          <cell r="J1304">
            <v>0</v>
          </cell>
          <cell r="K1304">
            <v>9</v>
          </cell>
          <cell r="L1304">
            <v>0</v>
          </cell>
          <cell r="M1304">
            <v>0</v>
          </cell>
        </row>
        <row r="1305">
          <cell r="C1305">
            <v>0</v>
          </cell>
          <cell r="D1305">
            <v>0</v>
          </cell>
          <cell r="E1305">
            <v>0</v>
          </cell>
          <cell r="F1305">
            <v>0</v>
          </cell>
          <cell r="G1305">
            <v>0</v>
          </cell>
          <cell r="H1305">
            <v>0</v>
          </cell>
          <cell r="I1305">
            <v>0</v>
          </cell>
          <cell r="J1305">
            <v>0</v>
          </cell>
          <cell r="K1305">
            <v>9</v>
          </cell>
          <cell r="L1305">
            <v>0</v>
          </cell>
          <cell r="M1305">
            <v>0</v>
          </cell>
        </row>
        <row r="1306">
          <cell r="C1306">
            <v>0</v>
          </cell>
          <cell r="D1306">
            <v>0</v>
          </cell>
          <cell r="E1306">
            <v>0</v>
          </cell>
          <cell r="F1306">
            <v>0</v>
          </cell>
          <cell r="G1306">
            <v>0</v>
          </cell>
          <cell r="H1306">
            <v>0</v>
          </cell>
          <cell r="I1306">
            <v>0</v>
          </cell>
          <cell r="J1306">
            <v>0</v>
          </cell>
          <cell r="K1306">
            <v>9</v>
          </cell>
          <cell r="L1306">
            <v>0</v>
          </cell>
          <cell r="M1306">
            <v>0</v>
          </cell>
        </row>
        <row r="1307">
          <cell r="C1307">
            <v>0</v>
          </cell>
          <cell r="D1307">
            <v>0</v>
          </cell>
          <cell r="E1307">
            <v>0</v>
          </cell>
          <cell r="F1307">
            <v>0</v>
          </cell>
          <cell r="G1307">
            <v>0</v>
          </cell>
          <cell r="H1307">
            <v>0</v>
          </cell>
          <cell r="I1307">
            <v>0</v>
          </cell>
          <cell r="J1307">
            <v>0</v>
          </cell>
          <cell r="K1307">
            <v>9</v>
          </cell>
          <cell r="L1307">
            <v>0</v>
          </cell>
          <cell r="M1307">
            <v>0</v>
          </cell>
        </row>
        <row r="1308">
          <cell r="C1308">
            <v>0</v>
          </cell>
          <cell r="D1308">
            <v>0</v>
          </cell>
          <cell r="E1308">
            <v>0</v>
          </cell>
          <cell r="F1308">
            <v>0</v>
          </cell>
          <cell r="G1308">
            <v>0</v>
          </cell>
          <cell r="H1308">
            <v>0</v>
          </cell>
          <cell r="I1308">
            <v>0</v>
          </cell>
          <cell r="J1308">
            <v>0</v>
          </cell>
          <cell r="K1308">
            <v>9</v>
          </cell>
          <cell r="L1308">
            <v>0</v>
          </cell>
          <cell r="M1308">
            <v>0</v>
          </cell>
        </row>
        <row r="1309">
          <cell r="C1309">
            <v>0</v>
          </cell>
          <cell r="D1309">
            <v>0</v>
          </cell>
          <cell r="E1309">
            <v>0</v>
          </cell>
          <cell r="F1309">
            <v>0</v>
          </cell>
          <cell r="G1309">
            <v>0</v>
          </cell>
          <cell r="H1309">
            <v>0</v>
          </cell>
          <cell r="I1309">
            <v>0</v>
          </cell>
          <cell r="J1309">
            <v>0</v>
          </cell>
          <cell r="K1309">
            <v>9</v>
          </cell>
          <cell r="L1309">
            <v>0</v>
          </cell>
          <cell r="M1309">
            <v>0</v>
          </cell>
        </row>
        <row r="1310">
          <cell r="C1310">
            <v>0</v>
          </cell>
          <cell r="D1310">
            <v>0</v>
          </cell>
          <cell r="E1310">
            <v>0</v>
          </cell>
          <cell r="F1310">
            <v>0</v>
          </cell>
          <cell r="G1310">
            <v>0</v>
          </cell>
          <cell r="H1310">
            <v>0</v>
          </cell>
          <cell r="I1310">
            <v>0</v>
          </cell>
          <cell r="J1310">
            <v>0</v>
          </cell>
          <cell r="K1310">
            <v>9</v>
          </cell>
          <cell r="L1310">
            <v>0</v>
          </cell>
          <cell r="M1310">
            <v>0</v>
          </cell>
        </row>
        <row r="1311">
          <cell r="C1311">
            <v>0</v>
          </cell>
          <cell r="D1311">
            <v>0</v>
          </cell>
          <cell r="E1311">
            <v>0</v>
          </cell>
          <cell r="F1311">
            <v>0</v>
          </cell>
          <cell r="G1311">
            <v>0</v>
          </cell>
          <cell r="H1311">
            <v>0</v>
          </cell>
          <cell r="I1311">
            <v>0</v>
          </cell>
          <cell r="J1311">
            <v>0</v>
          </cell>
          <cell r="K1311">
            <v>9</v>
          </cell>
          <cell r="L1311">
            <v>0</v>
          </cell>
          <cell r="M1311">
            <v>0</v>
          </cell>
        </row>
        <row r="1312">
          <cell r="C1312">
            <v>0</v>
          </cell>
          <cell r="D1312">
            <v>0</v>
          </cell>
          <cell r="E1312">
            <v>0</v>
          </cell>
          <cell r="F1312">
            <v>0</v>
          </cell>
          <cell r="G1312">
            <v>0</v>
          </cell>
          <cell r="H1312">
            <v>0</v>
          </cell>
          <cell r="I1312">
            <v>0</v>
          </cell>
          <cell r="J1312">
            <v>0</v>
          </cell>
          <cell r="K1312">
            <v>9</v>
          </cell>
          <cell r="L1312">
            <v>0</v>
          </cell>
          <cell r="M1312">
            <v>0</v>
          </cell>
        </row>
        <row r="1313">
          <cell r="C1313">
            <v>0</v>
          </cell>
          <cell r="D1313">
            <v>0</v>
          </cell>
          <cell r="E1313">
            <v>0</v>
          </cell>
          <cell r="F1313">
            <v>0</v>
          </cell>
          <cell r="G1313">
            <v>0</v>
          </cell>
          <cell r="H1313">
            <v>0</v>
          </cell>
          <cell r="I1313">
            <v>0</v>
          </cell>
          <cell r="J1313">
            <v>0</v>
          </cell>
          <cell r="K1313">
            <v>9</v>
          </cell>
          <cell r="L1313">
            <v>0</v>
          </cell>
          <cell r="M1313">
            <v>0</v>
          </cell>
        </row>
        <row r="1314">
          <cell r="C1314">
            <v>0</v>
          </cell>
          <cell r="D1314">
            <v>0</v>
          </cell>
          <cell r="E1314">
            <v>0</v>
          </cell>
          <cell r="F1314">
            <v>0</v>
          </cell>
          <cell r="G1314">
            <v>0</v>
          </cell>
          <cell r="H1314">
            <v>0</v>
          </cell>
          <cell r="I1314">
            <v>0</v>
          </cell>
          <cell r="J1314">
            <v>0</v>
          </cell>
          <cell r="K1314">
            <v>9</v>
          </cell>
          <cell r="L1314">
            <v>0</v>
          </cell>
          <cell r="M1314">
            <v>0</v>
          </cell>
        </row>
        <row r="1315">
          <cell r="C1315">
            <v>0</v>
          </cell>
          <cell r="D1315">
            <v>0</v>
          </cell>
          <cell r="E1315">
            <v>0</v>
          </cell>
          <cell r="F1315">
            <v>0</v>
          </cell>
          <cell r="G1315">
            <v>0</v>
          </cell>
          <cell r="H1315">
            <v>0</v>
          </cell>
          <cell r="I1315">
            <v>0</v>
          </cell>
          <cell r="J1315">
            <v>0</v>
          </cell>
          <cell r="K1315">
            <v>9</v>
          </cell>
          <cell r="L1315">
            <v>0</v>
          </cell>
          <cell r="M1315">
            <v>0</v>
          </cell>
        </row>
        <row r="1316">
          <cell r="C1316">
            <v>0</v>
          </cell>
          <cell r="D1316">
            <v>0</v>
          </cell>
          <cell r="E1316">
            <v>0</v>
          </cell>
          <cell r="F1316">
            <v>0</v>
          </cell>
          <cell r="G1316">
            <v>0</v>
          </cell>
          <cell r="H1316">
            <v>0</v>
          </cell>
          <cell r="I1316">
            <v>0</v>
          </cell>
          <cell r="J1316">
            <v>0</v>
          </cell>
          <cell r="K1316">
            <v>9</v>
          </cell>
          <cell r="L1316">
            <v>0</v>
          </cell>
          <cell r="M1316">
            <v>0</v>
          </cell>
        </row>
        <row r="1317">
          <cell r="C1317">
            <v>0</v>
          </cell>
          <cell r="D1317">
            <v>0</v>
          </cell>
          <cell r="E1317">
            <v>0</v>
          </cell>
          <cell r="F1317">
            <v>0</v>
          </cell>
          <cell r="G1317">
            <v>0</v>
          </cell>
          <cell r="H1317">
            <v>0</v>
          </cell>
          <cell r="I1317">
            <v>0</v>
          </cell>
          <cell r="J1317">
            <v>0</v>
          </cell>
          <cell r="K1317">
            <v>9</v>
          </cell>
          <cell r="L1317">
            <v>0</v>
          </cell>
          <cell r="M1317">
            <v>0</v>
          </cell>
        </row>
        <row r="1318">
          <cell r="C1318">
            <v>0</v>
          </cell>
          <cell r="D1318">
            <v>0</v>
          </cell>
          <cell r="E1318">
            <v>0</v>
          </cell>
          <cell r="F1318">
            <v>0</v>
          </cell>
          <cell r="G1318">
            <v>0</v>
          </cell>
          <cell r="H1318">
            <v>0</v>
          </cell>
          <cell r="I1318">
            <v>0</v>
          </cell>
          <cell r="J1318">
            <v>0</v>
          </cell>
          <cell r="K1318">
            <v>9</v>
          </cell>
          <cell r="L1318">
            <v>0</v>
          </cell>
          <cell r="M1318">
            <v>0</v>
          </cell>
        </row>
        <row r="1319">
          <cell r="C1319">
            <v>0</v>
          </cell>
          <cell r="D1319">
            <v>0</v>
          </cell>
          <cell r="E1319">
            <v>0</v>
          </cell>
          <cell r="F1319">
            <v>0</v>
          </cell>
          <cell r="G1319">
            <v>0</v>
          </cell>
          <cell r="H1319">
            <v>0</v>
          </cell>
          <cell r="I1319">
            <v>0</v>
          </cell>
          <cell r="J1319">
            <v>0</v>
          </cell>
          <cell r="K1319">
            <v>9</v>
          </cell>
          <cell r="L1319">
            <v>0</v>
          </cell>
          <cell r="M1319">
            <v>0</v>
          </cell>
        </row>
        <row r="1320">
          <cell r="C1320">
            <v>0</v>
          </cell>
          <cell r="D1320">
            <v>0</v>
          </cell>
          <cell r="E1320">
            <v>0</v>
          </cell>
          <cell r="F1320">
            <v>0</v>
          </cell>
          <cell r="G1320">
            <v>0</v>
          </cell>
          <cell r="H1320">
            <v>0</v>
          </cell>
          <cell r="I1320">
            <v>0</v>
          </cell>
          <cell r="J1320">
            <v>0</v>
          </cell>
          <cell r="K1320">
            <v>9</v>
          </cell>
          <cell r="L1320">
            <v>0</v>
          </cell>
          <cell r="M1320">
            <v>0</v>
          </cell>
        </row>
        <row r="1321">
          <cell r="C1321">
            <v>0</v>
          </cell>
          <cell r="D1321">
            <v>0</v>
          </cell>
          <cell r="E1321">
            <v>0</v>
          </cell>
          <cell r="F1321">
            <v>0</v>
          </cell>
          <cell r="G1321">
            <v>0</v>
          </cell>
          <cell r="H1321">
            <v>0</v>
          </cell>
          <cell r="I1321">
            <v>0</v>
          </cell>
          <cell r="J1321">
            <v>0</v>
          </cell>
          <cell r="K1321">
            <v>9</v>
          </cell>
          <cell r="L1321">
            <v>0</v>
          </cell>
          <cell r="M1321">
            <v>0</v>
          </cell>
        </row>
        <row r="1322">
          <cell r="C1322">
            <v>0</v>
          </cell>
          <cell r="D1322">
            <v>0</v>
          </cell>
          <cell r="E1322">
            <v>0</v>
          </cell>
          <cell r="F1322">
            <v>0</v>
          </cell>
          <cell r="G1322">
            <v>0</v>
          </cell>
          <cell r="H1322">
            <v>0</v>
          </cell>
          <cell r="I1322">
            <v>0</v>
          </cell>
          <cell r="J1322">
            <v>0</v>
          </cell>
          <cell r="K1322">
            <v>9</v>
          </cell>
          <cell r="L1322">
            <v>0</v>
          </cell>
          <cell r="M1322">
            <v>0</v>
          </cell>
        </row>
        <row r="1323">
          <cell r="C1323">
            <v>0</v>
          </cell>
          <cell r="D1323">
            <v>0</v>
          </cell>
          <cell r="E1323">
            <v>0</v>
          </cell>
          <cell r="F1323">
            <v>0</v>
          </cell>
          <cell r="G1323">
            <v>0</v>
          </cell>
          <cell r="H1323">
            <v>0</v>
          </cell>
          <cell r="I1323">
            <v>0</v>
          </cell>
          <cell r="J1323">
            <v>0</v>
          </cell>
          <cell r="K1323">
            <v>9</v>
          </cell>
          <cell r="L1323">
            <v>0</v>
          </cell>
          <cell r="M1323">
            <v>0</v>
          </cell>
        </row>
        <row r="1324">
          <cell r="C1324">
            <v>0</v>
          </cell>
          <cell r="D1324">
            <v>0</v>
          </cell>
          <cell r="E1324">
            <v>0</v>
          </cell>
          <cell r="F1324">
            <v>0</v>
          </cell>
          <cell r="G1324">
            <v>0</v>
          </cell>
          <cell r="H1324">
            <v>0</v>
          </cell>
          <cell r="I1324">
            <v>0</v>
          </cell>
          <cell r="J1324">
            <v>0</v>
          </cell>
          <cell r="K1324">
            <v>9</v>
          </cell>
          <cell r="L1324">
            <v>0</v>
          </cell>
          <cell r="M1324">
            <v>0</v>
          </cell>
        </row>
        <row r="1325">
          <cell r="C1325">
            <v>0</v>
          </cell>
          <cell r="D1325">
            <v>0</v>
          </cell>
          <cell r="E1325">
            <v>0</v>
          </cell>
          <cell r="F1325">
            <v>0</v>
          </cell>
          <cell r="G1325">
            <v>0</v>
          </cell>
          <cell r="H1325">
            <v>0</v>
          </cell>
          <cell r="I1325">
            <v>0</v>
          </cell>
          <cell r="J1325">
            <v>0</v>
          </cell>
          <cell r="K1325">
            <v>9</v>
          </cell>
          <cell r="L1325">
            <v>0</v>
          </cell>
          <cell r="M1325">
            <v>0</v>
          </cell>
        </row>
        <row r="1326">
          <cell r="C1326">
            <v>0</v>
          </cell>
          <cell r="D1326">
            <v>0</v>
          </cell>
          <cell r="E1326">
            <v>0</v>
          </cell>
          <cell r="F1326">
            <v>0</v>
          </cell>
          <cell r="G1326">
            <v>0</v>
          </cell>
          <cell r="H1326">
            <v>0</v>
          </cell>
          <cell r="I1326">
            <v>0</v>
          </cell>
          <cell r="J1326">
            <v>0</v>
          </cell>
          <cell r="K1326">
            <v>9</v>
          </cell>
          <cell r="L1326">
            <v>0</v>
          </cell>
          <cell r="M1326">
            <v>0</v>
          </cell>
        </row>
        <row r="1327">
          <cell r="C1327">
            <v>0</v>
          </cell>
          <cell r="D1327">
            <v>0</v>
          </cell>
          <cell r="E1327">
            <v>0</v>
          </cell>
          <cell r="F1327">
            <v>0</v>
          </cell>
          <cell r="G1327">
            <v>0</v>
          </cell>
          <cell r="H1327">
            <v>0</v>
          </cell>
          <cell r="I1327">
            <v>0</v>
          </cell>
          <cell r="J1327">
            <v>0</v>
          </cell>
          <cell r="K1327">
            <v>9</v>
          </cell>
          <cell r="L1327">
            <v>0</v>
          </cell>
          <cell r="M1327">
            <v>0</v>
          </cell>
        </row>
        <row r="1328">
          <cell r="C1328">
            <v>0</v>
          </cell>
          <cell r="D1328">
            <v>0</v>
          </cell>
          <cell r="E1328">
            <v>0</v>
          </cell>
          <cell r="F1328">
            <v>0</v>
          </cell>
          <cell r="G1328">
            <v>0</v>
          </cell>
          <cell r="H1328">
            <v>0</v>
          </cell>
          <cell r="I1328">
            <v>0</v>
          </cell>
          <cell r="J1328">
            <v>0</v>
          </cell>
          <cell r="K1328">
            <v>9</v>
          </cell>
          <cell r="L1328">
            <v>0</v>
          </cell>
          <cell r="M1328">
            <v>0</v>
          </cell>
        </row>
        <row r="1329">
          <cell r="C1329">
            <v>0</v>
          </cell>
          <cell r="D1329">
            <v>0</v>
          </cell>
          <cell r="E1329">
            <v>0</v>
          </cell>
          <cell r="F1329">
            <v>0</v>
          </cell>
          <cell r="G1329">
            <v>0</v>
          </cell>
          <cell r="H1329">
            <v>0</v>
          </cell>
          <cell r="I1329">
            <v>0</v>
          </cell>
          <cell r="J1329">
            <v>0</v>
          </cell>
          <cell r="K1329">
            <v>9</v>
          </cell>
          <cell r="L1329">
            <v>0</v>
          </cell>
          <cell r="M1329">
            <v>0</v>
          </cell>
        </row>
        <row r="1330">
          <cell r="C1330">
            <v>0</v>
          </cell>
          <cell r="D1330">
            <v>0</v>
          </cell>
          <cell r="E1330">
            <v>0</v>
          </cell>
          <cell r="F1330">
            <v>0</v>
          </cell>
          <cell r="G1330">
            <v>0</v>
          </cell>
          <cell r="H1330">
            <v>0</v>
          </cell>
          <cell r="I1330">
            <v>0</v>
          </cell>
          <cell r="J1330">
            <v>0</v>
          </cell>
          <cell r="K1330">
            <v>9</v>
          </cell>
          <cell r="L1330">
            <v>0</v>
          </cell>
          <cell r="M1330">
            <v>0</v>
          </cell>
        </row>
        <row r="1331">
          <cell r="C1331">
            <v>0</v>
          </cell>
          <cell r="D1331">
            <v>0</v>
          </cell>
          <cell r="E1331">
            <v>0</v>
          </cell>
          <cell r="F1331">
            <v>0</v>
          </cell>
          <cell r="G1331">
            <v>0</v>
          </cell>
          <cell r="H1331">
            <v>0</v>
          </cell>
          <cell r="I1331">
            <v>0</v>
          </cell>
          <cell r="J1331">
            <v>0</v>
          </cell>
          <cell r="K1331">
            <v>9</v>
          </cell>
          <cell r="L1331">
            <v>0</v>
          </cell>
          <cell r="M1331">
            <v>0</v>
          </cell>
        </row>
        <row r="1332">
          <cell r="C1332">
            <v>0</v>
          </cell>
          <cell r="D1332">
            <v>0</v>
          </cell>
          <cell r="E1332">
            <v>0</v>
          </cell>
          <cell r="F1332">
            <v>0</v>
          </cell>
          <cell r="G1332">
            <v>0</v>
          </cell>
          <cell r="H1332">
            <v>0</v>
          </cell>
          <cell r="I1332">
            <v>0</v>
          </cell>
          <cell r="J1332">
            <v>0</v>
          </cell>
          <cell r="K1332">
            <v>9</v>
          </cell>
          <cell r="L1332">
            <v>0</v>
          </cell>
          <cell r="M1332">
            <v>0</v>
          </cell>
        </row>
        <row r="1333">
          <cell r="C1333">
            <v>0</v>
          </cell>
          <cell r="D1333">
            <v>0</v>
          </cell>
          <cell r="E1333">
            <v>0</v>
          </cell>
          <cell r="F1333">
            <v>0</v>
          </cell>
          <cell r="G1333">
            <v>0</v>
          </cell>
          <cell r="H1333">
            <v>0</v>
          </cell>
          <cell r="I1333">
            <v>0</v>
          </cell>
          <cell r="J1333">
            <v>0</v>
          </cell>
          <cell r="K1333">
            <v>9</v>
          </cell>
          <cell r="L1333">
            <v>0</v>
          </cell>
          <cell r="M1333">
            <v>0</v>
          </cell>
        </row>
        <row r="1334">
          <cell r="C1334">
            <v>0</v>
          </cell>
          <cell r="D1334">
            <v>0</v>
          </cell>
          <cell r="E1334">
            <v>0</v>
          </cell>
          <cell r="F1334">
            <v>0</v>
          </cell>
          <cell r="G1334">
            <v>0</v>
          </cell>
          <cell r="H1334">
            <v>0</v>
          </cell>
          <cell r="I1334">
            <v>0</v>
          </cell>
          <cell r="J1334">
            <v>0</v>
          </cell>
          <cell r="K1334">
            <v>9</v>
          </cell>
          <cell r="L1334">
            <v>0</v>
          </cell>
          <cell r="M1334">
            <v>0</v>
          </cell>
        </row>
        <row r="1335">
          <cell r="C1335">
            <v>0</v>
          </cell>
          <cell r="D1335">
            <v>0</v>
          </cell>
          <cell r="E1335">
            <v>0</v>
          </cell>
          <cell r="F1335">
            <v>0</v>
          </cell>
          <cell r="G1335">
            <v>0</v>
          </cell>
          <cell r="H1335">
            <v>0</v>
          </cell>
          <cell r="I1335">
            <v>0</v>
          </cell>
          <cell r="J1335">
            <v>0</v>
          </cell>
          <cell r="K1335">
            <v>9</v>
          </cell>
          <cell r="L1335">
            <v>0</v>
          </cell>
          <cell r="M1335">
            <v>0</v>
          </cell>
        </row>
        <row r="1336">
          <cell r="C1336">
            <v>0</v>
          </cell>
          <cell r="D1336">
            <v>0</v>
          </cell>
          <cell r="E1336">
            <v>0</v>
          </cell>
          <cell r="F1336">
            <v>0</v>
          </cell>
          <cell r="G1336">
            <v>0</v>
          </cell>
          <cell r="H1336">
            <v>0</v>
          </cell>
          <cell r="I1336">
            <v>0</v>
          </cell>
          <cell r="J1336">
            <v>0</v>
          </cell>
          <cell r="K1336">
            <v>9</v>
          </cell>
          <cell r="L1336">
            <v>0</v>
          </cell>
          <cell r="M1336">
            <v>0</v>
          </cell>
        </row>
        <row r="1337">
          <cell r="C1337">
            <v>0</v>
          </cell>
          <cell r="D1337">
            <v>0</v>
          </cell>
          <cell r="E1337">
            <v>0</v>
          </cell>
          <cell r="F1337">
            <v>0</v>
          </cell>
          <cell r="G1337">
            <v>0</v>
          </cell>
          <cell r="H1337">
            <v>0</v>
          </cell>
          <cell r="I1337">
            <v>0</v>
          </cell>
          <cell r="J1337">
            <v>0</v>
          </cell>
          <cell r="K1337">
            <v>9</v>
          </cell>
          <cell r="L1337">
            <v>0</v>
          </cell>
          <cell r="M1337">
            <v>0</v>
          </cell>
        </row>
        <row r="1338">
          <cell r="C1338">
            <v>0</v>
          </cell>
          <cell r="D1338">
            <v>0</v>
          </cell>
          <cell r="E1338">
            <v>0</v>
          </cell>
          <cell r="F1338">
            <v>0</v>
          </cell>
          <cell r="G1338">
            <v>0</v>
          </cell>
          <cell r="H1338">
            <v>0</v>
          </cell>
          <cell r="I1338">
            <v>0</v>
          </cell>
          <cell r="J1338">
            <v>0</v>
          </cell>
          <cell r="K1338">
            <v>9</v>
          </cell>
          <cell r="L1338">
            <v>0</v>
          </cell>
          <cell r="M1338">
            <v>0</v>
          </cell>
        </row>
        <row r="1339">
          <cell r="C1339">
            <v>0</v>
          </cell>
          <cell r="D1339">
            <v>0</v>
          </cell>
          <cell r="E1339">
            <v>0</v>
          </cell>
          <cell r="F1339">
            <v>0</v>
          </cell>
          <cell r="G1339">
            <v>0</v>
          </cell>
          <cell r="H1339">
            <v>0</v>
          </cell>
          <cell r="I1339">
            <v>0</v>
          </cell>
          <cell r="J1339">
            <v>0</v>
          </cell>
          <cell r="K1339">
            <v>9</v>
          </cell>
          <cell r="L1339">
            <v>0</v>
          </cell>
          <cell r="M1339">
            <v>0</v>
          </cell>
        </row>
        <row r="1340">
          <cell r="C1340">
            <v>0</v>
          </cell>
          <cell r="D1340">
            <v>0</v>
          </cell>
          <cell r="E1340">
            <v>0</v>
          </cell>
          <cell r="F1340">
            <v>0</v>
          </cell>
          <cell r="G1340">
            <v>0</v>
          </cell>
          <cell r="H1340">
            <v>0</v>
          </cell>
          <cell r="I1340">
            <v>0</v>
          </cell>
          <cell r="J1340">
            <v>0</v>
          </cell>
          <cell r="K1340">
            <v>9</v>
          </cell>
          <cell r="L1340">
            <v>0</v>
          </cell>
          <cell r="M1340">
            <v>0</v>
          </cell>
        </row>
        <row r="1341">
          <cell r="C1341">
            <v>0</v>
          </cell>
          <cell r="D1341">
            <v>0</v>
          </cell>
          <cell r="E1341">
            <v>0</v>
          </cell>
          <cell r="F1341">
            <v>0</v>
          </cell>
          <cell r="G1341">
            <v>0</v>
          </cell>
          <cell r="H1341">
            <v>0</v>
          </cell>
          <cell r="I1341">
            <v>0</v>
          </cell>
          <cell r="J1341">
            <v>0</v>
          </cell>
          <cell r="K1341">
            <v>9</v>
          </cell>
          <cell r="L1341">
            <v>0</v>
          </cell>
          <cell r="M1341">
            <v>0</v>
          </cell>
        </row>
        <row r="1342">
          <cell r="C1342">
            <v>0</v>
          </cell>
          <cell r="D1342">
            <v>0</v>
          </cell>
          <cell r="E1342">
            <v>0</v>
          </cell>
          <cell r="F1342">
            <v>0</v>
          </cell>
          <cell r="G1342">
            <v>0</v>
          </cell>
          <cell r="H1342">
            <v>0</v>
          </cell>
          <cell r="I1342">
            <v>0</v>
          </cell>
          <cell r="J1342">
            <v>0</v>
          </cell>
          <cell r="K1342">
            <v>9</v>
          </cell>
          <cell r="L1342">
            <v>0</v>
          </cell>
          <cell r="M1342">
            <v>0</v>
          </cell>
        </row>
        <row r="1343">
          <cell r="C1343">
            <v>0</v>
          </cell>
          <cell r="D1343">
            <v>0</v>
          </cell>
          <cell r="E1343">
            <v>0</v>
          </cell>
          <cell r="F1343">
            <v>0</v>
          </cell>
          <cell r="G1343">
            <v>0</v>
          </cell>
          <cell r="H1343">
            <v>0</v>
          </cell>
          <cell r="I1343">
            <v>0</v>
          </cell>
          <cell r="J1343">
            <v>0</v>
          </cell>
          <cell r="K1343">
            <v>9</v>
          </cell>
          <cell r="L1343">
            <v>0</v>
          </cell>
          <cell r="M1343">
            <v>0</v>
          </cell>
        </row>
        <row r="1344">
          <cell r="C1344">
            <v>0</v>
          </cell>
          <cell r="D1344">
            <v>0</v>
          </cell>
          <cell r="E1344">
            <v>0</v>
          </cell>
          <cell r="F1344">
            <v>0</v>
          </cell>
          <cell r="G1344">
            <v>0</v>
          </cell>
          <cell r="H1344">
            <v>0</v>
          </cell>
          <cell r="I1344">
            <v>0</v>
          </cell>
          <cell r="J1344">
            <v>0</v>
          </cell>
          <cell r="K1344">
            <v>9</v>
          </cell>
          <cell r="L1344">
            <v>0</v>
          </cell>
          <cell r="M1344">
            <v>0</v>
          </cell>
        </row>
        <row r="1345">
          <cell r="C1345">
            <v>0</v>
          </cell>
          <cell r="D1345">
            <v>0</v>
          </cell>
          <cell r="E1345">
            <v>0</v>
          </cell>
          <cell r="F1345">
            <v>0</v>
          </cell>
          <cell r="G1345">
            <v>0</v>
          </cell>
          <cell r="H1345">
            <v>0</v>
          </cell>
          <cell r="I1345">
            <v>0</v>
          </cell>
          <cell r="J1345">
            <v>0</v>
          </cell>
          <cell r="K1345">
            <v>9</v>
          </cell>
          <cell r="L1345">
            <v>0</v>
          </cell>
          <cell r="M1345">
            <v>0</v>
          </cell>
        </row>
        <row r="1346">
          <cell r="C1346">
            <v>0</v>
          </cell>
          <cell r="D1346">
            <v>0</v>
          </cell>
          <cell r="E1346">
            <v>0</v>
          </cell>
          <cell r="F1346">
            <v>0</v>
          </cell>
          <cell r="G1346">
            <v>0</v>
          </cell>
          <cell r="H1346">
            <v>0</v>
          </cell>
          <cell r="I1346">
            <v>0</v>
          </cell>
          <cell r="J1346">
            <v>0</v>
          </cell>
          <cell r="K1346">
            <v>9</v>
          </cell>
          <cell r="L1346">
            <v>0</v>
          </cell>
          <cell r="M1346">
            <v>0</v>
          </cell>
        </row>
        <row r="1347">
          <cell r="C1347">
            <v>0</v>
          </cell>
          <cell r="D1347">
            <v>0</v>
          </cell>
          <cell r="E1347">
            <v>0</v>
          </cell>
          <cell r="F1347">
            <v>0</v>
          </cell>
          <cell r="G1347">
            <v>0</v>
          </cell>
          <cell r="H1347">
            <v>0</v>
          </cell>
          <cell r="I1347">
            <v>0</v>
          </cell>
          <cell r="J1347">
            <v>0</v>
          </cell>
          <cell r="K1347">
            <v>9</v>
          </cell>
          <cell r="L1347">
            <v>0</v>
          </cell>
          <cell r="M1347">
            <v>0</v>
          </cell>
        </row>
        <row r="1348">
          <cell r="C1348">
            <v>0</v>
          </cell>
          <cell r="D1348">
            <v>0</v>
          </cell>
          <cell r="E1348">
            <v>0</v>
          </cell>
          <cell r="F1348">
            <v>0</v>
          </cell>
          <cell r="G1348">
            <v>0</v>
          </cell>
          <cell r="H1348">
            <v>0</v>
          </cell>
          <cell r="I1348">
            <v>0</v>
          </cell>
          <cell r="J1348">
            <v>0</v>
          </cell>
          <cell r="K1348">
            <v>9</v>
          </cell>
          <cell r="L1348">
            <v>0</v>
          </cell>
          <cell r="M1348">
            <v>0</v>
          </cell>
        </row>
        <row r="1349">
          <cell r="C1349">
            <v>0</v>
          </cell>
          <cell r="D1349">
            <v>0</v>
          </cell>
          <cell r="E1349">
            <v>0</v>
          </cell>
          <cell r="F1349">
            <v>0</v>
          </cell>
          <cell r="G1349">
            <v>0</v>
          </cell>
          <cell r="H1349">
            <v>0</v>
          </cell>
          <cell r="I1349">
            <v>0</v>
          </cell>
          <cell r="J1349">
            <v>0</v>
          </cell>
          <cell r="K1349">
            <v>9</v>
          </cell>
          <cell r="L1349">
            <v>0</v>
          </cell>
          <cell r="M1349">
            <v>0</v>
          </cell>
        </row>
        <row r="1350">
          <cell r="C1350">
            <v>0</v>
          </cell>
          <cell r="D1350">
            <v>0</v>
          </cell>
          <cell r="E1350">
            <v>0</v>
          </cell>
          <cell r="F1350">
            <v>0</v>
          </cell>
          <cell r="G1350">
            <v>0</v>
          </cell>
          <cell r="H1350">
            <v>0</v>
          </cell>
          <cell r="I1350">
            <v>0</v>
          </cell>
          <cell r="J1350">
            <v>0</v>
          </cell>
          <cell r="K1350">
            <v>9</v>
          </cell>
          <cell r="L1350">
            <v>0</v>
          </cell>
          <cell r="M1350">
            <v>0</v>
          </cell>
        </row>
        <row r="1351">
          <cell r="C1351">
            <v>0</v>
          </cell>
          <cell r="D1351">
            <v>0</v>
          </cell>
          <cell r="E1351">
            <v>0</v>
          </cell>
          <cell r="F1351">
            <v>0</v>
          </cell>
          <cell r="G1351">
            <v>0</v>
          </cell>
          <cell r="H1351">
            <v>0</v>
          </cell>
          <cell r="I1351">
            <v>0</v>
          </cell>
          <cell r="J1351">
            <v>0</v>
          </cell>
          <cell r="K1351">
            <v>9</v>
          </cell>
          <cell r="L1351">
            <v>0</v>
          </cell>
          <cell r="M1351">
            <v>0</v>
          </cell>
        </row>
        <row r="1352">
          <cell r="C1352">
            <v>0</v>
          </cell>
          <cell r="D1352">
            <v>0</v>
          </cell>
          <cell r="E1352">
            <v>0</v>
          </cell>
          <cell r="F1352">
            <v>0</v>
          </cell>
          <cell r="G1352">
            <v>0</v>
          </cell>
          <cell r="H1352">
            <v>0</v>
          </cell>
          <cell r="I1352">
            <v>0</v>
          </cell>
          <cell r="J1352">
            <v>0</v>
          </cell>
          <cell r="K1352">
            <v>9</v>
          </cell>
          <cell r="L1352">
            <v>0</v>
          </cell>
          <cell r="M1352">
            <v>0</v>
          </cell>
        </row>
        <row r="1353">
          <cell r="C1353">
            <v>0</v>
          </cell>
          <cell r="D1353">
            <v>0</v>
          </cell>
          <cell r="E1353">
            <v>0</v>
          </cell>
          <cell r="F1353">
            <v>0</v>
          </cell>
          <cell r="G1353">
            <v>0</v>
          </cell>
          <cell r="H1353">
            <v>0</v>
          </cell>
          <cell r="I1353">
            <v>0</v>
          </cell>
          <cell r="J1353">
            <v>0</v>
          </cell>
          <cell r="K1353">
            <v>9</v>
          </cell>
          <cell r="L1353">
            <v>0</v>
          </cell>
          <cell r="M1353">
            <v>0</v>
          </cell>
        </row>
        <row r="1354">
          <cell r="C1354">
            <v>0</v>
          </cell>
          <cell r="D1354">
            <v>0</v>
          </cell>
          <cell r="E1354">
            <v>0</v>
          </cell>
          <cell r="F1354">
            <v>0</v>
          </cell>
          <cell r="G1354">
            <v>0</v>
          </cell>
          <cell r="H1354">
            <v>0</v>
          </cell>
          <cell r="I1354">
            <v>0</v>
          </cell>
          <cell r="J1354">
            <v>0</v>
          </cell>
          <cell r="K1354">
            <v>9</v>
          </cell>
          <cell r="L1354">
            <v>0</v>
          </cell>
          <cell r="M1354">
            <v>0</v>
          </cell>
        </row>
        <row r="1355">
          <cell r="C1355">
            <v>0</v>
          </cell>
          <cell r="D1355">
            <v>0</v>
          </cell>
          <cell r="E1355">
            <v>0</v>
          </cell>
          <cell r="F1355">
            <v>0</v>
          </cell>
          <cell r="G1355">
            <v>0</v>
          </cell>
          <cell r="H1355">
            <v>0</v>
          </cell>
          <cell r="I1355">
            <v>0</v>
          </cell>
          <cell r="J1355">
            <v>0</v>
          </cell>
          <cell r="K1355">
            <v>9</v>
          </cell>
          <cell r="L1355">
            <v>0</v>
          </cell>
          <cell r="M1355">
            <v>0</v>
          </cell>
        </row>
        <row r="1356">
          <cell r="C1356">
            <v>0</v>
          </cell>
          <cell r="D1356">
            <v>0</v>
          </cell>
          <cell r="E1356">
            <v>0</v>
          </cell>
          <cell r="F1356">
            <v>0</v>
          </cell>
          <cell r="G1356">
            <v>0</v>
          </cell>
          <cell r="H1356">
            <v>0</v>
          </cell>
          <cell r="I1356">
            <v>0</v>
          </cell>
          <cell r="J1356">
            <v>0</v>
          </cell>
          <cell r="K1356">
            <v>9</v>
          </cell>
          <cell r="L1356">
            <v>0</v>
          </cell>
          <cell r="M1356">
            <v>0</v>
          </cell>
        </row>
        <row r="1357">
          <cell r="C1357">
            <v>0</v>
          </cell>
          <cell r="D1357">
            <v>0</v>
          </cell>
          <cell r="E1357">
            <v>0</v>
          </cell>
          <cell r="F1357">
            <v>0</v>
          </cell>
          <cell r="G1357">
            <v>0</v>
          </cell>
          <cell r="H1357">
            <v>0</v>
          </cell>
          <cell r="I1357">
            <v>0</v>
          </cell>
          <cell r="J1357">
            <v>0</v>
          </cell>
          <cell r="K1357">
            <v>9</v>
          </cell>
          <cell r="L1357">
            <v>0</v>
          </cell>
          <cell r="M1357">
            <v>0</v>
          </cell>
        </row>
        <row r="1358">
          <cell r="C1358">
            <v>0</v>
          </cell>
          <cell r="D1358">
            <v>0</v>
          </cell>
          <cell r="E1358">
            <v>0</v>
          </cell>
          <cell r="F1358">
            <v>0</v>
          </cell>
          <cell r="G1358">
            <v>0</v>
          </cell>
          <cell r="H1358">
            <v>0</v>
          </cell>
          <cell r="I1358">
            <v>0</v>
          </cell>
          <cell r="J1358">
            <v>0</v>
          </cell>
          <cell r="K1358">
            <v>9</v>
          </cell>
          <cell r="L1358">
            <v>0</v>
          </cell>
          <cell r="M1358">
            <v>0</v>
          </cell>
        </row>
        <row r="1359">
          <cell r="C1359">
            <v>0</v>
          </cell>
          <cell r="D1359">
            <v>0</v>
          </cell>
          <cell r="E1359">
            <v>0</v>
          </cell>
          <cell r="F1359">
            <v>0</v>
          </cell>
          <cell r="G1359">
            <v>0</v>
          </cell>
          <cell r="H1359">
            <v>0</v>
          </cell>
          <cell r="I1359">
            <v>0</v>
          </cell>
          <cell r="J1359">
            <v>0</v>
          </cell>
          <cell r="K1359">
            <v>9</v>
          </cell>
          <cell r="L1359">
            <v>0</v>
          </cell>
          <cell r="M1359">
            <v>0</v>
          </cell>
        </row>
        <row r="1360">
          <cell r="C1360">
            <v>0</v>
          </cell>
          <cell r="D1360">
            <v>0</v>
          </cell>
          <cell r="E1360">
            <v>0</v>
          </cell>
          <cell r="F1360">
            <v>0</v>
          </cell>
          <cell r="G1360">
            <v>0</v>
          </cell>
          <cell r="H1360">
            <v>0</v>
          </cell>
          <cell r="I1360">
            <v>0</v>
          </cell>
          <cell r="J1360">
            <v>0</v>
          </cell>
          <cell r="K1360">
            <v>9</v>
          </cell>
          <cell r="L1360">
            <v>0</v>
          </cell>
          <cell r="M1360">
            <v>0</v>
          </cell>
        </row>
        <row r="1361">
          <cell r="C1361">
            <v>0</v>
          </cell>
          <cell r="D1361">
            <v>0</v>
          </cell>
          <cell r="E1361">
            <v>0</v>
          </cell>
          <cell r="F1361">
            <v>0</v>
          </cell>
          <cell r="G1361">
            <v>0</v>
          </cell>
          <cell r="H1361">
            <v>0</v>
          </cell>
          <cell r="I1361">
            <v>0</v>
          </cell>
          <cell r="J1361">
            <v>0</v>
          </cell>
          <cell r="K1361">
            <v>9</v>
          </cell>
          <cell r="L1361">
            <v>0</v>
          </cell>
          <cell r="M1361">
            <v>0</v>
          </cell>
        </row>
        <row r="1362">
          <cell r="C1362">
            <v>0</v>
          </cell>
          <cell r="D1362">
            <v>0</v>
          </cell>
          <cell r="E1362">
            <v>0</v>
          </cell>
          <cell r="F1362">
            <v>0</v>
          </cell>
          <cell r="G1362">
            <v>0</v>
          </cell>
          <cell r="H1362">
            <v>0</v>
          </cell>
          <cell r="I1362">
            <v>0</v>
          </cell>
          <cell r="J1362">
            <v>0</v>
          </cell>
          <cell r="K1362">
            <v>9</v>
          </cell>
          <cell r="L1362">
            <v>0</v>
          </cell>
          <cell r="M1362">
            <v>0</v>
          </cell>
        </row>
        <row r="1363">
          <cell r="C1363">
            <v>0</v>
          </cell>
          <cell r="D1363">
            <v>0</v>
          </cell>
          <cell r="E1363">
            <v>0</v>
          </cell>
          <cell r="F1363">
            <v>0</v>
          </cell>
          <cell r="G1363">
            <v>0</v>
          </cell>
          <cell r="H1363">
            <v>0</v>
          </cell>
          <cell r="I1363">
            <v>0</v>
          </cell>
          <cell r="J1363">
            <v>0</v>
          </cell>
          <cell r="K1363">
            <v>9</v>
          </cell>
          <cell r="L1363">
            <v>0</v>
          </cell>
          <cell r="M1363">
            <v>0</v>
          </cell>
        </row>
        <row r="1364">
          <cell r="C1364">
            <v>0</v>
          </cell>
          <cell r="D1364">
            <v>0</v>
          </cell>
          <cell r="E1364">
            <v>0</v>
          </cell>
          <cell r="F1364">
            <v>0</v>
          </cell>
          <cell r="G1364">
            <v>0</v>
          </cell>
          <cell r="H1364">
            <v>0</v>
          </cell>
          <cell r="I1364">
            <v>0</v>
          </cell>
          <cell r="J1364">
            <v>0</v>
          </cell>
          <cell r="K1364">
            <v>9</v>
          </cell>
          <cell r="L1364">
            <v>0</v>
          </cell>
          <cell r="M1364">
            <v>0</v>
          </cell>
        </row>
        <row r="1365">
          <cell r="C1365">
            <v>0</v>
          </cell>
          <cell r="D1365">
            <v>0</v>
          </cell>
          <cell r="E1365">
            <v>0</v>
          </cell>
          <cell r="F1365">
            <v>0</v>
          </cell>
          <cell r="G1365">
            <v>0</v>
          </cell>
          <cell r="H1365">
            <v>0</v>
          </cell>
          <cell r="I1365">
            <v>0</v>
          </cell>
          <cell r="J1365">
            <v>0</v>
          </cell>
          <cell r="K1365">
            <v>9</v>
          </cell>
          <cell r="L1365">
            <v>0</v>
          </cell>
          <cell r="M1365">
            <v>0</v>
          </cell>
        </row>
        <row r="1366">
          <cell r="C1366">
            <v>0</v>
          </cell>
          <cell r="D1366">
            <v>0</v>
          </cell>
          <cell r="E1366">
            <v>0</v>
          </cell>
          <cell r="F1366">
            <v>0</v>
          </cell>
          <cell r="G1366">
            <v>0</v>
          </cell>
          <cell r="H1366">
            <v>0</v>
          </cell>
          <cell r="I1366">
            <v>0</v>
          </cell>
          <cell r="J1366">
            <v>0</v>
          </cell>
          <cell r="K1366">
            <v>9</v>
          </cell>
          <cell r="L1366">
            <v>0</v>
          </cell>
          <cell r="M1366">
            <v>0</v>
          </cell>
        </row>
        <row r="1367">
          <cell r="C1367">
            <v>0</v>
          </cell>
          <cell r="D1367">
            <v>0</v>
          </cell>
          <cell r="E1367">
            <v>0</v>
          </cell>
          <cell r="F1367">
            <v>0</v>
          </cell>
          <cell r="G1367">
            <v>0</v>
          </cell>
          <cell r="H1367">
            <v>0</v>
          </cell>
          <cell r="I1367">
            <v>0</v>
          </cell>
          <cell r="J1367">
            <v>0</v>
          </cell>
          <cell r="K1367">
            <v>9</v>
          </cell>
          <cell r="L1367">
            <v>0</v>
          </cell>
          <cell r="M1367">
            <v>0</v>
          </cell>
        </row>
        <row r="1368">
          <cell r="C1368">
            <v>0</v>
          </cell>
          <cell r="D1368">
            <v>0</v>
          </cell>
          <cell r="E1368">
            <v>0</v>
          </cell>
          <cell r="F1368">
            <v>0</v>
          </cell>
          <cell r="G1368">
            <v>0</v>
          </cell>
          <cell r="H1368">
            <v>0</v>
          </cell>
          <cell r="I1368">
            <v>0</v>
          </cell>
          <cell r="J1368">
            <v>0</v>
          </cell>
          <cell r="K1368">
            <v>9</v>
          </cell>
          <cell r="L1368">
            <v>0</v>
          </cell>
          <cell r="M1368">
            <v>0</v>
          </cell>
        </row>
        <row r="1369">
          <cell r="C1369">
            <v>0</v>
          </cell>
          <cell r="D1369">
            <v>0</v>
          </cell>
          <cell r="E1369">
            <v>0</v>
          </cell>
          <cell r="F1369">
            <v>0</v>
          </cell>
          <cell r="G1369">
            <v>0</v>
          </cell>
          <cell r="H1369">
            <v>0</v>
          </cell>
          <cell r="I1369">
            <v>0</v>
          </cell>
          <cell r="J1369">
            <v>0</v>
          </cell>
          <cell r="K1369">
            <v>9</v>
          </cell>
          <cell r="L1369">
            <v>0</v>
          </cell>
          <cell r="M1369">
            <v>0</v>
          </cell>
        </row>
        <row r="1370">
          <cell r="C1370">
            <v>0</v>
          </cell>
          <cell r="D1370">
            <v>0</v>
          </cell>
          <cell r="E1370">
            <v>0</v>
          </cell>
          <cell r="F1370">
            <v>0</v>
          </cell>
          <cell r="G1370">
            <v>0</v>
          </cell>
          <cell r="H1370">
            <v>0</v>
          </cell>
          <cell r="I1370">
            <v>0</v>
          </cell>
          <cell r="J1370">
            <v>0</v>
          </cell>
          <cell r="K1370">
            <v>9</v>
          </cell>
          <cell r="L1370">
            <v>0</v>
          </cell>
          <cell r="M1370">
            <v>0</v>
          </cell>
        </row>
        <row r="1371">
          <cell r="C1371">
            <v>0</v>
          </cell>
          <cell r="D1371">
            <v>0</v>
          </cell>
          <cell r="E1371">
            <v>0</v>
          </cell>
          <cell r="F1371">
            <v>0</v>
          </cell>
          <cell r="G1371">
            <v>0</v>
          </cell>
          <cell r="H1371">
            <v>0</v>
          </cell>
          <cell r="I1371">
            <v>0</v>
          </cell>
          <cell r="J1371">
            <v>0</v>
          </cell>
          <cell r="K1371">
            <v>9</v>
          </cell>
          <cell r="L1371">
            <v>0</v>
          </cell>
          <cell r="M1371">
            <v>0</v>
          </cell>
        </row>
        <row r="1372">
          <cell r="C1372">
            <v>0</v>
          </cell>
          <cell r="D1372">
            <v>0</v>
          </cell>
          <cell r="E1372">
            <v>0</v>
          </cell>
          <cell r="F1372">
            <v>0</v>
          </cell>
          <cell r="G1372">
            <v>0</v>
          </cell>
          <cell r="H1372">
            <v>0</v>
          </cell>
          <cell r="I1372">
            <v>0</v>
          </cell>
          <cell r="J1372">
            <v>0</v>
          </cell>
          <cell r="K1372">
            <v>9</v>
          </cell>
          <cell r="L1372">
            <v>0</v>
          </cell>
          <cell r="M1372">
            <v>0</v>
          </cell>
        </row>
        <row r="1373">
          <cell r="C1373">
            <v>0</v>
          </cell>
          <cell r="D1373">
            <v>0</v>
          </cell>
          <cell r="E1373">
            <v>0</v>
          </cell>
          <cell r="F1373">
            <v>0</v>
          </cell>
          <cell r="G1373">
            <v>0</v>
          </cell>
          <cell r="H1373">
            <v>0</v>
          </cell>
          <cell r="I1373">
            <v>0</v>
          </cell>
          <cell r="J1373">
            <v>0</v>
          </cell>
          <cell r="K1373">
            <v>9</v>
          </cell>
          <cell r="L1373">
            <v>0</v>
          </cell>
          <cell r="M1373">
            <v>0</v>
          </cell>
        </row>
        <row r="1374">
          <cell r="C1374">
            <v>0</v>
          </cell>
          <cell r="D1374">
            <v>0</v>
          </cell>
          <cell r="E1374">
            <v>0</v>
          </cell>
          <cell r="F1374">
            <v>0</v>
          </cell>
          <cell r="G1374">
            <v>0</v>
          </cell>
          <cell r="H1374">
            <v>0</v>
          </cell>
          <cell r="I1374">
            <v>0</v>
          </cell>
          <cell r="J1374">
            <v>0</v>
          </cell>
          <cell r="K1374">
            <v>9</v>
          </cell>
          <cell r="L1374">
            <v>0</v>
          </cell>
          <cell r="M1374">
            <v>0</v>
          </cell>
        </row>
        <row r="1375">
          <cell r="C1375">
            <v>0</v>
          </cell>
          <cell r="D1375">
            <v>0</v>
          </cell>
          <cell r="E1375">
            <v>0</v>
          </cell>
          <cell r="F1375">
            <v>0</v>
          </cell>
          <cell r="G1375">
            <v>0</v>
          </cell>
          <cell r="H1375">
            <v>0</v>
          </cell>
          <cell r="I1375">
            <v>0</v>
          </cell>
          <cell r="J1375">
            <v>0</v>
          </cell>
          <cell r="K1375">
            <v>9</v>
          </cell>
          <cell r="L1375">
            <v>0</v>
          </cell>
          <cell r="M1375">
            <v>0</v>
          </cell>
        </row>
        <row r="1376">
          <cell r="C1376">
            <v>0</v>
          </cell>
          <cell r="D1376">
            <v>0</v>
          </cell>
          <cell r="E1376">
            <v>0</v>
          </cell>
          <cell r="F1376">
            <v>0</v>
          </cell>
          <cell r="G1376">
            <v>0</v>
          </cell>
          <cell r="H1376">
            <v>0</v>
          </cell>
          <cell r="I1376">
            <v>0</v>
          </cell>
          <cell r="J1376">
            <v>0</v>
          </cell>
          <cell r="K1376">
            <v>9</v>
          </cell>
          <cell r="L1376">
            <v>0</v>
          </cell>
          <cell r="M1376">
            <v>0</v>
          </cell>
        </row>
        <row r="1377">
          <cell r="C1377">
            <v>0</v>
          </cell>
          <cell r="D1377">
            <v>0</v>
          </cell>
          <cell r="E1377">
            <v>0</v>
          </cell>
          <cell r="F1377">
            <v>0</v>
          </cell>
          <cell r="G1377">
            <v>0</v>
          </cell>
          <cell r="H1377">
            <v>0</v>
          </cell>
          <cell r="I1377">
            <v>0</v>
          </cell>
          <cell r="J1377">
            <v>0</v>
          </cell>
          <cell r="K1377">
            <v>9</v>
          </cell>
          <cell r="L1377">
            <v>0</v>
          </cell>
          <cell r="M1377">
            <v>0</v>
          </cell>
        </row>
        <row r="1378">
          <cell r="C1378">
            <v>0</v>
          </cell>
          <cell r="D1378">
            <v>0</v>
          </cell>
          <cell r="E1378">
            <v>0</v>
          </cell>
          <cell r="F1378">
            <v>0</v>
          </cell>
          <cell r="G1378">
            <v>0</v>
          </cell>
          <cell r="H1378">
            <v>0</v>
          </cell>
          <cell r="I1378">
            <v>0</v>
          </cell>
          <cell r="J1378">
            <v>0</v>
          </cell>
          <cell r="K1378">
            <v>9</v>
          </cell>
          <cell r="L1378">
            <v>0</v>
          </cell>
          <cell r="M1378">
            <v>0</v>
          </cell>
        </row>
        <row r="1379">
          <cell r="C1379">
            <v>0</v>
          </cell>
          <cell r="D1379">
            <v>0</v>
          </cell>
          <cell r="E1379">
            <v>0</v>
          </cell>
          <cell r="F1379">
            <v>0</v>
          </cell>
          <cell r="G1379">
            <v>0</v>
          </cell>
          <cell r="H1379">
            <v>0</v>
          </cell>
          <cell r="I1379">
            <v>0</v>
          </cell>
          <cell r="J1379">
            <v>0</v>
          </cell>
          <cell r="K1379">
            <v>9</v>
          </cell>
          <cell r="L1379">
            <v>0</v>
          </cell>
          <cell r="M1379">
            <v>0</v>
          </cell>
        </row>
        <row r="1380">
          <cell r="C1380">
            <v>0</v>
          </cell>
          <cell r="D1380">
            <v>0</v>
          </cell>
          <cell r="E1380">
            <v>0</v>
          </cell>
          <cell r="F1380">
            <v>0</v>
          </cell>
          <cell r="G1380">
            <v>0</v>
          </cell>
          <cell r="H1380">
            <v>0</v>
          </cell>
          <cell r="I1380">
            <v>0</v>
          </cell>
          <cell r="J1380">
            <v>0</v>
          </cell>
          <cell r="K1380">
            <v>9</v>
          </cell>
          <cell r="L1380">
            <v>0</v>
          </cell>
          <cell r="M1380">
            <v>0</v>
          </cell>
        </row>
        <row r="1381">
          <cell r="C1381">
            <v>0</v>
          </cell>
          <cell r="D1381">
            <v>0</v>
          </cell>
          <cell r="E1381">
            <v>0</v>
          </cell>
          <cell r="F1381">
            <v>0</v>
          </cell>
          <cell r="G1381">
            <v>0</v>
          </cell>
          <cell r="H1381">
            <v>0</v>
          </cell>
          <cell r="I1381">
            <v>0</v>
          </cell>
          <cell r="J1381">
            <v>0</v>
          </cell>
          <cell r="K1381">
            <v>9</v>
          </cell>
          <cell r="L1381">
            <v>0</v>
          </cell>
          <cell r="M1381">
            <v>0</v>
          </cell>
        </row>
        <row r="1382">
          <cell r="C1382">
            <v>0</v>
          </cell>
          <cell r="D1382">
            <v>0</v>
          </cell>
          <cell r="E1382">
            <v>0</v>
          </cell>
          <cell r="F1382">
            <v>0</v>
          </cell>
          <cell r="G1382">
            <v>0</v>
          </cell>
          <cell r="H1382">
            <v>0</v>
          </cell>
          <cell r="I1382">
            <v>0</v>
          </cell>
          <cell r="J1382">
            <v>0</v>
          </cell>
          <cell r="K1382">
            <v>9</v>
          </cell>
          <cell r="L1382">
            <v>0</v>
          </cell>
          <cell r="M1382">
            <v>0</v>
          </cell>
        </row>
        <row r="1383">
          <cell r="C1383">
            <v>0</v>
          </cell>
          <cell r="D1383">
            <v>0</v>
          </cell>
          <cell r="E1383">
            <v>0</v>
          </cell>
          <cell r="F1383">
            <v>0</v>
          </cell>
          <cell r="G1383">
            <v>0</v>
          </cell>
          <cell r="H1383">
            <v>0</v>
          </cell>
          <cell r="I1383">
            <v>0</v>
          </cell>
          <cell r="J1383">
            <v>0</v>
          </cell>
          <cell r="K1383">
            <v>9</v>
          </cell>
          <cell r="L1383">
            <v>0</v>
          </cell>
          <cell r="M1383">
            <v>0</v>
          </cell>
        </row>
        <row r="1384">
          <cell r="C1384">
            <v>0</v>
          </cell>
          <cell r="D1384">
            <v>0</v>
          </cell>
          <cell r="E1384">
            <v>0</v>
          </cell>
          <cell r="F1384">
            <v>0</v>
          </cell>
          <cell r="G1384">
            <v>0</v>
          </cell>
          <cell r="H1384">
            <v>0</v>
          </cell>
          <cell r="I1384">
            <v>0</v>
          </cell>
          <cell r="J1384">
            <v>0</v>
          </cell>
          <cell r="K1384">
            <v>9</v>
          </cell>
          <cell r="L1384">
            <v>0</v>
          </cell>
          <cell r="M1384">
            <v>0</v>
          </cell>
        </row>
        <row r="1385">
          <cell r="C1385">
            <v>0</v>
          </cell>
          <cell r="D1385">
            <v>0</v>
          </cell>
          <cell r="E1385">
            <v>0</v>
          </cell>
          <cell r="F1385">
            <v>0</v>
          </cell>
          <cell r="G1385">
            <v>0</v>
          </cell>
          <cell r="H1385">
            <v>0</v>
          </cell>
          <cell r="I1385">
            <v>0</v>
          </cell>
          <cell r="J1385">
            <v>0</v>
          </cell>
          <cell r="K1385">
            <v>9</v>
          </cell>
          <cell r="L1385">
            <v>0</v>
          </cell>
          <cell r="M1385">
            <v>0</v>
          </cell>
        </row>
        <row r="1386">
          <cell r="C1386">
            <v>0</v>
          </cell>
          <cell r="D1386">
            <v>0</v>
          </cell>
          <cell r="E1386">
            <v>0</v>
          </cell>
          <cell r="F1386">
            <v>0</v>
          </cell>
          <cell r="G1386">
            <v>0</v>
          </cell>
          <cell r="H1386">
            <v>0</v>
          </cell>
          <cell r="I1386">
            <v>0</v>
          </cell>
          <cell r="J1386">
            <v>0</v>
          </cell>
          <cell r="K1386">
            <v>9</v>
          </cell>
          <cell r="L1386">
            <v>0</v>
          </cell>
          <cell r="M1386">
            <v>0</v>
          </cell>
        </row>
        <row r="1387">
          <cell r="C1387">
            <v>0</v>
          </cell>
          <cell r="D1387">
            <v>0</v>
          </cell>
          <cell r="E1387">
            <v>0</v>
          </cell>
          <cell r="F1387">
            <v>0</v>
          </cell>
          <cell r="G1387">
            <v>0</v>
          </cell>
          <cell r="H1387">
            <v>0</v>
          </cell>
          <cell r="I1387">
            <v>0</v>
          </cell>
          <cell r="J1387">
            <v>0</v>
          </cell>
          <cell r="K1387">
            <v>9</v>
          </cell>
          <cell r="L1387">
            <v>0</v>
          </cell>
          <cell r="M1387">
            <v>0</v>
          </cell>
        </row>
        <row r="1388">
          <cell r="C1388">
            <v>0</v>
          </cell>
          <cell r="D1388">
            <v>0</v>
          </cell>
          <cell r="E1388">
            <v>0</v>
          </cell>
          <cell r="F1388">
            <v>0</v>
          </cell>
          <cell r="G1388">
            <v>0</v>
          </cell>
          <cell r="H1388">
            <v>0</v>
          </cell>
          <cell r="I1388">
            <v>0</v>
          </cell>
          <cell r="J1388">
            <v>0</v>
          </cell>
          <cell r="K1388">
            <v>9</v>
          </cell>
          <cell r="L1388">
            <v>0</v>
          </cell>
          <cell r="M1388">
            <v>0</v>
          </cell>
        </row>
        <row r="1389">
          <cell r="C1389">
            <v>0</v>
          </cell>
          <cell r="D1389">
            <v>0</v>
          </cell>
          <cell r="E1389">
            <v>0</v>
          </cell>
          <cell r="F1389">
            <v>0</v>
          </cell>
          <cell r="G1389">
            <v>0</v>
          </cell>
          <cell r="H1389">
            <v>0</v>
          </cell>
          <cell r="I1389">
            <v>0</v>
          </cell>
          <cell r="J1389">
            <v>0</v>
          </cell>
          <cell r="K1389">
            <v>9</v>
          </cell>
          <cell r="L1389">
            <v>0</v>
          </cell>
          <cell r="M1389">
            <v>0</v>
          </cell>
        </row>
        <row r="1390">
          <cell r="C1390">
            <v>0</v>
          </cell>
          <cell r="D1390">
            <v>0</v>
          </cell>
          <cell r="E1390">
            <v>0</v>
          </cell>
          <cell r="F1390">
            <v>0</v>
          </cell>
          <cell r="G1390">
            <v>0</v>
          </cell>
          <cell r="H1390">
            <v>0</v>
          </cell>
          <cell r="I1390">
            <v>0</v>
          </cell>
          <cell r="J1390">
            <v>0</v>
          </cell>
          <cell r="K1390">
            <v>9</v>
          </cell>
          <cell r="L1390">
            <v>0</v>
          </cell>
          <cell r="M1390">
            <v>0</v>
          </cell>
        </row>
        <row r="1391">
          <cell r="C1391">
            <v>0</v>
          </cell>
          <cell r="D1391">
            <v>0</v>
          </cell>
          <cell r="E1391">
            <v>0</v>
          </cell>
          <cell r="F1391">
            <v>0</v>
          </cell>
          <cell r="G1391">
            <v>0</v>
          </cell>
          <cell r="H1391">
            <v>0</v>
          </cell>
          <cell r="I1391">
            <v>0</v>
          </cell>
          <cell r="J1391">
            <v>0</v>
          </cell>
          <cell r="K1391">
            <v>9</v>
          </cell>
          <cell r="L1391">
            <v>0</v>
          </cell>
          <cell r="M1391">
            <v>0</v>
          </cell>
        </row>
        <row r="1392">
          <cell r="C1392">
            <v>0</v>
          </cell>
          <cell r="D1392">
            <v>0</v>
          </cell>
          <cell r="E1392">
            <v>0</v>
          </cell>
          <cell r="F1392">
            <v>0</v>
          </cell>
          <cell r="G1392">
            <v>0</v>
          </cell>
          <cell r="H1392">
            <v>0</v>
          </cell>
          <cell r="I1392">
            <v>0</v>
          </cell>
          <cell r="J1392">
            <v>0</v>
          </cell>
          <cell r="K1392">
            <v>9</v>
          </cell>
          <cell r="L1392">
            <v>0</v>
          </cell>
          <cell r="M1392">
            <v>0</v>
          </cell>
        </row>
        <row r="1393">
          <cell r="C1393">
            <v>0</v>
          </cell>
          <cell r="D1393">
            <v>0</v>
          </cell>
          <cell r="E1393">
            <v>0</v>
          </cell>
          <cell r="F1393">
            <v>0</v>
          </cell>
          <cell r="G1393">
            <v>0</v>
          </cell>
          <cell r="H1393">
            <v>0</v>
          </cell>
          <cell r="I1393">
            <v>0</v>
          </cell>
          <cell r="J1393">
            <v>0</v>
          </cell>
          <cell r="K1393">
            <v>9</v>
          </cell>
          <cell r="L1393">
            <v>0</v>
          </cell>
          <cell r="M1393">
            <v>0</v>
          </cell>
        </row>
        <row r="1394">
          <cell r="C1394">
            <v>0</v>
          </cell>
          <cell r="D1394">
            <v>0</v>
          </cell>
          <cell r="E1394">
            <v>0</v>
          </cell>
          <cell r="F1394">
            <v>0</v>
          </cell>
          <cell r="G1394">
            <v>0</v>
          </cell>
          <cell r="H1394">
            <v>0</v>
          </cell>
          <cell r="I1394">
            <v>0</v>
          </cell>
          <cell r="J1394">
            <v>0</v>
          </cell>
          <cell r="K1394">
            <v>9</v>
          </cell>
          <cell r="L1394">
            <v>0</v>
          </cell>
          <cell r="M1394">
            <v>0</v>
          </cell>
        </row>
        <row r="1395">
          <cell r="C1395">
            <v>0</v>
          </cell>
          <cell r="D1395">
            <v>0</v>
          </cell>
          <cell r="E1395">
            <v>0</v>
          </cell>
          <cell r="F1395">
            <v>0</v>
          </cell>
          <cell r="G1395">
            <v>0</v>
          </cell>
          <cell r="H1395">
            <v>0</v>
          </cell>
          <cell r="I1395">
            <v>0</v>
          </cell>
          <cell r="J1395">
            <v>0</v>
          </cell>
          <cell r="K1395">
            <v>9</v>
          </cell>
          <cell r="L1395">
            <v>0</v>
          </cell>
          <cell r="M1395">
            <v>0</v>
          </cell>
        </row>
        <row r="1396">
          <cell r="C1396">
            <v>0</v>
          </cell>
          <cell r="D1396">
            <v>0</v>
          </cell>
          <cell r="E1396">
            <v>0</v>
          </cell>
          <cell r="F1396">
            <v>0</v>
          </cell>
          <cell r="G1396">
            <v>0</v>
          </cell>
          <cell r="H1396">
            <v>0</v>
          </cell>
          <cell r="I1396">
            <v>0</v>
          </cell>
          <cell r="J1396">
            <v>0</v>
          </cell>
          <cell r="K1396">
            <v>9</v>
          </cell>
          <cell r="L1396">
            <v>0</v>
          </cell>
          <cell r="M1396">
            <v>0</v>
          </cell>
        </row>
        <row r="1397">
          <cell r="C1397">
            <v>0</v>
          </cell>
          <cell r="D1397">
            <v>0</v>
          </cell>
          <cell r="E1397">
            <v>0</v>
          </cell>
          <cell r="F1397">
            <v>0</v>
          </cell>
          <cell r="G1397">
            <v>0</v>
          </cell>
          <cell r="H1397">
            <v>0</v>
          </cell>
          <cell r="I1397">
            <v>0</v>
          </cell>
          <cell r="J1397">
            <v>0</v>
          </cell>
          <cell r="K1397">
            <v>9</v>
          </cell>
          <cell r="L1397">
            <v>0</v>
          </cell>
          <cell r="M1397">
            <v>0</v>
          </cell>
        </row>
        <row r="1398">
          <cell r="C1398">
            <v>0</v>
          </cell>
          <cell r="D1398">
            <v>0</v>
          </cell>
          <cell r="E1398">
            <v>0</v>
          </cell>
          <cell r="F1398">
            <v>0</v>
          </cell>
          <cell r="G1398">
            <v>0</v>
          </cell>
          <cell r="H1398">
            <v>0</v>
          </cell>
          <cell r="I1398">
            <v>0</v>
          </cell>
          <cell r="J1398">
            <v>0</v>
          </cell>
          <cell r="K1398">
            <v>9</v>
          </cell>
          <cell r="L1398">
            <v>0</v>
          </cell>
          <cell r="M1398">
            <v>0</v>
          </cell>
        </row>
        <row r="1399">
          <cell r="C1399">
            <v>0</v>
          </cell>
          <cell r="D1399">
            <v>0</v>
          </cell>
          <cell r="E1399">
            <v>0</v>
          </cell>
          <cell r="F1399">
            <v>0</v>
          </cell>
          <cell r="G1399">
            <v>0</v>
          </cell>
          <cell r="H1399">
            <v>0</v>
          </cell>
          <cell r="I1399">
            <v>0</v>
          </cell>
          <cell r="J1399">
            <v>0</v>
          </cell>
          <cell r="K1399">
            <v>9</v>
          </cell>
          <cell r="L1399">
            <v>0</v>
          </cell>
          <cell r="M1399">
            <v>0</v>
          </cell>
        </row>
        <row r="1400">
          <cell r="C1400">
            <v>0</v>
          </cell>
          <cell r="D1400">
            <v>0</v>
          </cell>
          <cell r="E1400">
            <v>0</v>
          </cell>
          <cell r="F1400">
            <v>0</v>
          </cell>
          <cell r="G1400">
            <v>0</v>
          </cell>
          <cell r="H1400">
            <v>0</v>
          </cell>
          <cell r="I1400">
            <v>0</v>
          </cell>
          <cell r="J1400">
            <v>0</v>
          </cell>
          <cell r="K1400">
            <v>9</v>
          </cell>
          <cell r="L1400">
            <v>0</v>
          </cell>
          <cell r="M1400">
            <v>0</v>
          </cell>
        </row>
        <row r="1401">
          <cell r="C1401">
            <v>0</v>
          </cell>
          <cell r="D1401">
            <v>0</v>
          </cell>
          <cell r="E1401">
            <v>0</v>
          </cell>
          <cell r="F1401">
            <v>0</v>
          </cell>
          <cell r="G1401">
            <v>0</v>
          </cell>
          <cell r="H1401">
            <v>0</v>
          </cell>
          <cell r="I1401">
            <v>0</v>
          </cell>
          <cell r="J1401">
            <v>0</v>
          </cell>
          <cell r="K1401">
            <v>9</v>
          </cell>
          <cell r="L1401">
            <v>0</v>
          </cell>
          <cell r="M1401">
            <v>0</v>
          </cell>
        </row>
        <row r="1402">
          <cell r="C1402">
            <v>0</v>
          </cell>
          <cell r="D1402">
            <v>0</v>
          </cell>
          <cell r="E1402">
            <v>0</v>
          </cell>
          <cell r="F1402">
            <v>0</v>
          </cell>
          <cell r="G1402">
            <v>0</v>
          </cell>
          <cell r="H1402">
            <v>0</v>
          </cell>
          <cell r="I1402">
            <v>0</v>
          </cell>
          <cell r="J1402">
            <v>0</v>
          </cell>
          <cell r="K1402">
            <v>9</v>
          </cell>
          <cell r="L1402">
            <v>0</v>
          </cell>
          <cell r="M1402">
            <v>0</v>
          </cell>
        </row>
        <row r="1403">
          <cell r="C1403">
            <v>0</v>
          </cell>
          <cell r="D1403">
            <v>0</v>
          </cell>
          <cell r="E1403">
            <v>0</v>
          </cell>
          <cell r="F1403">
            <v>0</v>
          </cell>
          <cell r="G1403">
            <v>0</v>
          </cell>
          <cell r="H1403">
            <v>0</v>
          </cell>
          <cell r="I1403">
            <v>0</v>
          </cell>
          <cell r="J1403">
            <v>0</v>
          </cell>
          <cell r="K1403">
            <v>9</v>
          </cell>
          <cell r="L1403">
            <v>0</v>
          </cell>
          <cell r="M1403">
            <v>0</v>
          </cell>
        </row>
        <row r="1404">
          <cell r="C1404">
            <v>0</v>
          </cell>
          <cell r="D1404">
            <v>0</v>
          </cell>
          <cell r="E1404">
            <v>0</v>
          </cell>
          <cell r="F1404">
            <v>0</v>
          </cell>
          <cell r="G1404">
            <v>0</v>
          </cell>
          <cell r="H1404">
            <v>0</v>
          </cell>
          <cell r="I1404">
            <v>0</v>
          </cell>
          <cell r="J1404">
            <v>0</v>
          </cell>
          <cell r="K1404">
            <v>9</v>
          </cell>
          <cell r="L1404">
            <v>0</v>
          </cell>
          <cell r="M1404">
            <v>0</v>
          </cell>
        </row>
        <row r="1405">
          <cell r="C1405">
            <v>0</v>
          </cell>
          <cell r="D1405">
            <v>0</v>
          </cell>
          <cell r="E1405">
            <v>0</v>
          </cell>
          <cell r="F1405">
            <v>0</v>
          </cell>
          <cell r="G1405">
            <v>0</v>
          </cell>
          <cell r="H1405">
            <v>0</v>
          </cell>
          <cell r="I1405">
            <v>0</v>
          </cell>
          <cell r="J1405">
            <v>0</v>
          </cell>
          <cell r="K1405">
            <v>9</v>
          </cell>
          <cell r="L1405">
            <v>0</v>
          </cell>
          <cell r="M1405">
            <v>0</v>
          </cell>
        </row>
        <row r="1406">
          <cell r="C1406">
            <v>0</v>
          </cell>
          <cell r="D1406">
            <v>0</v>
          </cell>
          <cell r="E1406">
            <v>0</v>
          </cell>
          <cell r="F1406">
            <v>0</v>
          </cell>
          <cell r="G1406">
            <v>0</v>
          </cell>
          <cell r="H1406">
            <v>0</v>
          </cell>
          <cell r="I1406">
            <v>0</v>
          </cell>
          <cell r="J1406">
            <v>0</v>
          </cell>
          <cell r="K1406">
            <v>9</v>
          </cell>
          <cell r="L1406">
            <v>0</v>
          </cell>
          <cell r="M1406">
            <v>0</v>
          </cell>
        </row>
        <row r="1407">
          <cell r="C1407">
            <v>0</v>
          </cell>
          <cell r="D1407">
            <v>0</v>
          </cell>
          <cell r="E1407">
            <v>0</v>
          </cell>
          <cell r="F1407">
            <v>0</v>
          </cell>
          <cell r="G1407">
            <v>0</v>
          </cell>
          <cell r="H1407">
            <v>0</v>
          </cell>
          <cell r="I1407">
            <v>0</v>
          </cell>
          <cell r="J1407">
            <v>0</v>
          </cell>
          <cell r="K1407">
            <v>9</v>
          </cell>
          <cell r="L1407">
            <v>0</v>
          </cell>
          <cell r="M1407">
            <v>0</v>
          </cell>
        </row>
        <row r="1408">
          <cell r="C1408">
            <v>0</v>
          </cell>
          <cell r="D1408">
            <v>0</v>
          </cell>
          <cell r="E1408">
            <v>0</v>
          </cell>
          <cell r="F1408">
            <v>0</v>
          </cell>
          <cell r="G1408">
            <v>0</v>
          </cell>
          <cell r="H1408">
            <v>0</v>
          </cell>
          <cell r="I1408">
            <v>0</v>
          </cell>
          <cell r="J1408">
            <v>0</v>
          </cell>
          <cell r="K1408">
            <v>9</v>
          </cell>
          <cell r="L1408">
            <v>0</v>
          </cell>
          <cell r="M1408">
            <v>0</v>
          </cell>
        </row>
        <row r="1409">
          <cell r="C1409">
            <v>0</v>
          </cell>
          <cell r="D1409">
            <v>0</v>
          </cell>
          <cell r="E1409">
            <v>0</v>
          </cell>
          <cell r="F1409">
            <v>0</v>
          </cell>
          <cell r="G1409">
            <v>0</v>
          </cell>
          <cell r="H1409">
            <v>0</v>
          </cell>
          <cell r="I1409">
            <v>0</v>
          </cell>
          <cell r="J1409">
            <v>0</v>
          </cell>
          <cell r="K1409">
            <v>9</v>
          </cell>
          <cell r="L1409">
            <v>0</v>
          </cell>
          <cell r="M1409">
            <v>0</v>
          </cell>
        </row>
        <row r="1410">
          <cell r="C1410">
            <v>0</v>
          </cell>
          <cell r="D1410">
            <v>0</v>
          </cell>
          <cell r="E1410">
            <v>0</v>
          </cell>
          <cell r="F1410">
            <v>0</v>
          </cell>
          <cell r="G1410">
            <v>0</v>
          </cell>
          <cell r="H1410">
            <v>0</v>
          </cell>
          <cell r="I1410">
            <v>0</v>
          </cell>
          <cell r="J1410">
            <v>0</v>
          </cell>
          <cell r="K1410">
            <v>9</v>
          </cell>
          <cell r="L1410">
            <v>0</v>
          </cell>
          <cell r="M1410">
            <v>0</v>
          </cell>
        </row>
        <row r="1411">
          <cell r="C1411">
            <v>0</v>
          </cell>
          <cell r="D1411">
            <v>0</v>
          </cell>
          <cell r="E1411">
            <v>0</v>
          </cell>
          <cell r="F1411">
            <v>0</v>
          </cell>
          <cell r="G1411">
            <v>0</v>
          </cell>
          <cell r="H1411">
            <v>0</v>
          </cell>
          <cell r="I1411">
            <v>0</v>
          </cell>
          <cell r="J1411">
            <v>0</v>
          </cell>
          <cell r="K1411">
            <v>9</v>
          </cell>
          <cell r="L1411">
            <v>0</v>
          </cell>
          <cell r="M1411">
            <v>0</v>
          </cell>
        </row>
        <row r="1412">
          <cell r="C1412">
            <v>0</v>
          </cell>
          <cell r="D1412">
            <v>0</v>
          </cell>
          <cell r="E1412">
            <v>0</v>
          </cell>
          <cell r="F1412">
            <v>0</v>
          </cell>
          <cell r="G1412">
            <v>0</v>
          </cell>
          <cell r="H1412">
            <v>0</v>
          </cell>
          <cell r="I1412">
            <v>0</v>
          </cell>
          <cell r="J1412">
            <v>0</v>
          </cell>
          <cell r="K1412">
            <v>9</v>
          </cell>
          <cell r="L1412">
            <v>0</v>
          </cell>
          <cell r="M1412">
            <v>0</v>
          </cell>
        </row>
        <row r="1413">
          <cell r="C1413">
            <v>0</v>
          </cell>
          <cell r="D1413">
            <v>0</v>
          </cell>
          <cell r="E1413">
            <v>0</v>
          </cell>
          <cell r="F1413">
            <v>0</v>
          </cell>
          <cell r="G1413">
            <v>0</v>
          </cell>
          <cell r="H1413">
            <v>0</v>
          </cell>
          <cell r="I1413">
            <v>0</v>
          </cell>
          <cell r="J1413">
            <v>0</v>
          </cell>
          <cell r="K1413">
            <v>9</v>
          </cell>
          <cell r="L1413">
            <v>0</v>
          </cell>
          <cell r="M1413">
            <v>0</v>
          </cell>
        </row>
        <row r="1414">
          <cell r="C1414">
            <v>0</v>
          </cell>
          <cell r="D1414">
            <v>0</v>
          </cell>
          <cell r="E1414">
            <v>0</v>
          </cell>
          <cell r="F1414">
            <v>0</v>
          </cell>
          <cell r="G1414">
            <v>0</v>
          </cell>
          <cell r="H1414">
            <v>0</v>
          </cell>
          <cell r="I1414">
            <v>0</v>
          </cell>
          <cell r="J1414">
            <v>0</v>
          </cell>
          <cell r="K1414">
            <v>9</v>
          </cell>
          <cell r="L1414">
            <v>0</v>
          </cell>
          <cell r="M1414">
            <v>0</v>
          </cell>
        </row>
        <row r="1415">
          <cell r="C1415">
            <v>0</v>
          </cell>
          <cell r="D1415">
            <v>0</v>
          </cell>
          <cell r="E1415">
            <v>0</v>
          </cell>
          <cell r="F1415">
            <v>0</v>
          </cell>
          <cell r="G1415">
            <v>0</v>
          </cell>
          <cell r="H1415">
            <v>0</v>
          </cell>
          <cell r="I1415">
            <v>0</v>
          </cell>
          <cell r="J1415">
            <v>0</v>
          </cell>
          <cell r="K1415">
            <v>9</v>
          </cell>
          <cell r="L1415">
            <v>0</v>
          </cell>
          <cell r="M1415">
            <v>0</v>
          </cell>
        </row>
        <row r="1416">
          <cell r="C1416">
            <v>0</v>
          </cell>
          <cell r="D1416">
            <v>0</v>
          </cell>
          <cell r="E1416">
            <v>0</v>
          </cell>
          <cell r="F1416">
            <v>0</v>
          </cell>
          <cell r="G1416">
            <v>0</v>
          </cell>
          <cell r="H1416">
            <v>0</v>
          </cell>
          <cell r="I1416">
            <v>0</v>
          </cell>
          <cell r="J1416">
            <v>0</v>
          </cell>
          <cell r="K1416">
            <v>9</v>
          </cell>
          <cell r="L1416">
            <v>0</v>
          </cell>
          <cell r="M1416">
            <v>0</v>
          </cell>
        </row>
        <row r="1417">
          <cell r="C1417">
            <v>0</v>
          </cell>
          <cell r="D1417">
            <v>0</v>
          </cell>
          <cell r="E1417">
            <v>0</v>
          </cell>
          <cell r="F1417">
            <v>0</v>
          </cell>
          <cell r="G1417">
            <v>0</v>
          </cell>
          <cell r="H1417">
            <v>0</v>
          </cell>
          <cell r="I1417">
            <v>0</v>
          </cell>
          <cell r="J1417">
            <v>0</v>
          </cell>
          <cell r="K1417">
            <v>9</v>
          </cell>
          <cell r="L1417">
            <v>0</v>
          </cell>
          <cell r="M1417">
            <v>0</v>
          </cell>
        </row>
        <row r="1418">
          <cell r="C1418">
            <v>0</v>
          </cell>
          <cell r="D1418">
            <v>0</v>
          </cell>
          <cell r="E1418">
            <v>0</v>
          </cell>
          <cell r="F1418">
            <v>0</v>
          </cell>
          <cell r="G1418">
            <v>0</v>
          </cell>
          <cell r="H1418">
            <v>0</v>
          </cell>
          <cell r="I1418">
            <v>0</v>
          </cell>
          <cell r="J1418">
            <v>0</v>
          </cell>
          <cell r="K1418">
            <v>9</v>
          </cell>
          <cell r="L1418">
            <v>0</v>
          </cell>
          <cell r="M1418">
            <v>0</v>
          </cell>
        </row>
        <row r="1419">
          <cell r="C1419">
            <v>0</v>
          </cell>
          <cell r="D1419">
            <v>0</v>
          </cell>
          <cell r="E1419">
            <v>0</v>
          </cell>
          <cell r="F1419">
            <v>0</v>
          </cell>
          <cell r="G1419">
            <v>0</v>
          </cell>
          <cell r="H1419">
            <v>0</v>
          </cell>
          <cell r="I1419">
            <v>0</v>
          </cell>
          <cell r="J1419">
            <v>0</v>
          </cell>
          <cell r="K1419">
            <v>9</v>
          </cell>
          <cell r="L1419">
            <v>0</v>
          </cell>
          <cell r="M1419">
            <v>0</v>
          </cell>
        </row>
        <row r="1420">
          <cell r="C1420">
            <v>0</v>
          </cell>
          <cell r="D1420">
            <v>0</v>
          </cell>
          <cell r="E1420">
            <v>0</v>
          </cell>
          <cell r="F1420">
            <v>0</v>
          </cell>
          <cell r="G1420">
            <v>0</v>
          </cell>
          <cell r="H1420">
            <v>0</v>
          </cell>
          <cell r="I1420">
            <v>0</v>
          </cell>
          <cell r="J1420">
            <v>0</v>
          </cell>
          <cell r="K1420">
            <v>9</v>
          </cell>
          <cell r="L1420">
            <v>0</v>
          </cell>
          <cell r="M1420">
            <v>0</v>
          </cell>
        </row>
        <row r="1421">
          <cell r="C1421">
            <v>0</v>
          </cell>
          <cell r="D1421">
            <v>0</v>
          </cell>
          <cell r="E1421">
            <v>0</v>
          </cell>
          <cell r="F1421">
            <v>0</v>
          </cell>
          <cell r="G1421">
            <v>0</v>
          </cell>
          <cell r="H1421">
            <v>0</v>
          </cell>
          <cell r="I1421">
            <v>0</v>
          </cell>
          <cell r="J1421">
            <v>0</v>
          </cell>
          <cell r="K1421">
            <v>9</v>
          </cell>
          <cell r="L1421">
            <v>0</v>
          </cell>
          <cell r="M1421">
            <v>0</v>
          </cell>
        </row>
        <row r="1422">
          <cell r="C1422">
            <v>0</v>
          </cell>
          <cell r="D1422">
            <v>0</v>
          </cell>
          <cell r="E1422">
            <v>0</v>
          </cell>
          <cell r="F1422">
            <v>0</v>
          </cell>
          <cell r="G1422">
            <v>0</v>
          </cell>
          <cell r="H1422">
            <v>0</v>
          </cell>
          <cell r="I1422">
            <v>0</v>
          </cell>
          <cell r="J1422">
            <v>0</v>
          </cell>
          <cell r="K1422">
            <v>9</v>
          </cell>
          <cell r="L1422">
            <v>0</v>
          </cell>
          <cell r="M1422">
            <v>0</v>
          </cell>
        </row>
        <row r="1423">
          <cell r="C1423">
            <v>0</v>
          </cell>
          <cell r="D1423">
            <v>0</v>
          </cell>
          <cell r="E1423">
            <v>0</v>
          </cell>
          <cell r="F1423">
            <v>0</v>
          </cell>
          <cell r="G1423">
            <v>0</v>
          </cell>
          <cell r="H1423">
            <v>0</v>
          </cell>
          <cell r="I1423">
            <v>0</v>
          </cell>
          <cell r="J1423">
            <v>0</v>
          </cell>
          <cell r="K1423">
            <v>9</v>
          </cell>
          <cell r="L1423">
            <v>0</v>
          </cell>
          <cell r="M1423">
            <v>0</v>
          </cell>
        </row>
        <row r="1424">
          <cell r="C1424">
            <v>0</v>
          </cell>
          <cell r="D1424">
            <v>0</v>
          </cell>
          <cell r="E1424">
            <v>0</v>
          </cell>
          <cell r="F1424">
            <v>0</v>
          </cell>
          <cell r="G1424">
            <v>0</v>
          </cell>
          <cell r="H1424">
            <v>0</v>
          </cell>
          <cell r="I1424">
            <v>0</v>
          </cell>
          <cell r="J1424">
            <v>0</v>
          </cell>
          <cell r="K1424">
            <v>9</v>
          </cell>
          <cell r="L1424">
            <v>0</v>
          </cell>
          <cell r="M1424">
            <v>0</v>
          </cell>
        </row>
        <row r="1425">
          <cell r="C1425">
            <v>0</v>
          </cell>
          <cell r="D1425">
            <v>0</v>
          </cell>
          <cell r="E1425">
            <v>0</v>
          </cell>
          <cell r="F1425">
            <v>0</v>
          </cell>
          <cell r="G1425">
            <v>0</v>
          </cell>
          <cell r="H1425">
            <v>0</v>
          </cell>
          <cell r="I1425">
            <v>0</v>
          </cell>
          <cell r="J1425">
            <v>0</v>
          </cell>
          <cell r="K1425">
            <v>9</v>
          </cell>
          <cell r="L1425">
            <v>0</v>
          </cell>
          <cell r="M1425">
            <v>0</v>
          </cell>
        </row>
        <row r="1426">
          <cell r="C1426">
            <v>0</v>
          </cell>
          <cell r="D1426">
            <v>0</v>
          </cell>
          <cell r="E1426">
            <v>0</v>
          </cell>
          <cell r="F1426">
            <v>0</v>
          </cell>
          <cell r="G1426">
            <v>0</v>
          </cell>
          <cell r="H1426">
            <v>0</v>
          </cell>
          <cell r="I1426">
            <v>0</v>
          </cell>
          <cell r="J1426">
            <v>0</v>
          </cell>
          <cell r="K1426">
            <v>9</v>
          </cell>
          <cell r="L1426">
            <v>0</v>
          </cell>
          <cell r="M1426">
            <v>0</v>
          </cell>
        </row>
        <row r="1427">
          <cell r="C1427">
            <v>0</v>
          </cell>
          <cell r="D1427">
            <v>0</v>
          </cell>
          <cell r="E1427">
            <v>0</v>
          </cell>
          <cell r="F1427">
            <v>0</v>
          </cell>
          <cell r="G1427">
            <v>0</v>
          </cell>
          <cell r="H1427">
            <v>0</v>
          </cell>
          <cell r="I1427">
            <v>0</v>
          </cell>
          <cell r="J1427">
            <v>0</v>
          </cell>
          <cell r="K1427">
            <v>9</v>
          </cell>
          <cell r="L1427">
            <v>0</v>
          </cell>
          <cell r="M1427">
            <v>0</v>
          </cell>
        </row>
        <row r="1428">
          <cell r="C1428">
            <v>0</v>
          </cell>
          <cell r="D1428">
            <v>0</v>
          </cell>
          <cell r="E1428">
            <v>0</v>
          </cell>
          <cell r="F1428">
            <v>0</v>
          </cell>
          <cell r="G1428">
            <v>0</v>
          </cell>
          <cell r="H1428">
            <v>0</v>
          </cell>
          <cell r="I1428">
            <v>0</v>
          </cell>
          <cell r="J1428">
            <v>0</v>
          </cell>
          <cell r="K1428">
            <v>9</v>
          </cell>
          <cell r="L1428">
            <v>0</v>
          </cell>
          <cell r="M1428">
            <v>0</v>
          </cell>
        </row>
        <row r="1429">
          <cell r="C1429">
            <v>0</v>
          </cell>
          <cell r="D1429">
            <v>0</v>
          </cell>
          <cell r="E1429">
            <v>0</v>
          </cell>
          <cell r="F1429">
            <v>0</v>
          </cell>
          <cell r="G1429">
            <v>0</v>
          </cell>
          <cell r="H1429">
            <v>0</v>
          </cell>
          <cell r="I1429">
            <v>0</v>
          </cell>
          <cell r="J1429">
            <v>0</v>
          </cell>
          <cell r="K1429">
            <v>9</v>
          </cell>
          <cell r="L1429">
            <v>0</v>
          </cell>
          <cell r="M1429">
            <v>0</v>
          </cell>
        </row>
        <row r="1430">
          <cell r="C1430">
            <v>0</v>
          </cell>
          <cell r="D1430">
            <v>0</v>
          </cell>
          <cell r="E1430">
            <v>0</v>
          </cell>
          <cell r="F1430">
            <v>0</v>
          </cell>
          <cell r="G1430">
            <v>0</v>
          </cell>
          <cell r="H1430">
            <v>0</v>
          </cell>
          <cell r="I1430">
            <v>0</v>
          </cell>
          <cell r="J1430">
            <v>0</v>
          </cell>
          <cell r="K1430">
            <v>9</v>
          </cell>
          <cell r="L1430">
            <v>0</v>
          </cell>
          <cell r="M1430">
            <v>0</v>
          </cell>
        </row>
        <row r="1431">
          <cell r="C1431">
            <v>0</v>
          </cell>
          <cell r="D1431">
            <v>0</v>
          </cell>
          <cell r="E1431">
            <v>0</v>
          </cell>
          <cell r="F1431">
            <v>0</v>
          </cell>
          <cell r="G1431">
            <v>0</v>
          </cell>
          <cell r="H1431">
            <v>0</v>
          </cell>
          <cell r="I1431">
            <v>0</v>
          </cell>
          <cell r="J1431">
            <v>0</v>
          </cell>
          <cell r="K1431">
            <v>9</v>
          </cell>
          <cell r="L1431">
            <v>0</v>
          </cell>
          <cell r="M1431">
            <v>0</v>
          </cell>
        </row>
        <row r="1432">
          <cell r="C1432">
            <v>0</v>
          </cell>
          <cell r="D1432">
            <v>0</v>
          </cell>
          <cell r="E1432">
            <v>0</v>
          </cell>
          <cell r="F1432">
            <v>0</v>
          </cell>
          <cell r="G1432">
            <v>0</v>
          </cell>
          <cell r="H1432">
            <v>0</v>
          </cell>
          <cell r="I1432">
            <v>0</v>
          </cell>
          <cell r="J1432">
            <v>0</v>
          </cell>
          <cell r="K1432">
            <v>9</v>
          </cell>
          <cell r="L1432">
            <v>0</v>
          </cell>
          <cell r="M1432">
            <v>0</v>
          </cell>
        </row>
        <row r="1433">
          <cell r="C1433">
            <v>0</v>
          </cell>
          <cell r="D1433">
            <v>0</v>
          </cell>
          <cell r="E1433">
            <v>0</v>
          </cell>
          <cell r="F1433">
            <v>0</v>
          </cell>
          <cell r="G1433">
            <v>0</v>
          </cell>
          <cell r="H1433">
            <v>0</v>
          </cell>
          <cell r="I1433">
            <v>0</v>
          </cell>
          <cell r="J1433">
            <v>0</v>
          </cell>
          <cell r="K1433">
            <v>9</v>
          </cell>
          <cell r="L1433">
            <v>0</v>
          </cell>
          <cell r="M1433">
            <v>0</v>
          </cell>
        </row>
        <row r="1434">
          <cell r="C1434">
            <v>0</v>
          </cell>
          <cell r="D1434">
            <v>0</v>
          </cell>
          <cell r="E1434">
            <v>0</v>
          </cell>
          <cell r="F1434">
            <v>0</v>
          </cell>
          <cell r="G1434">
            <v>0</v>
          </cell>
          <cell r="H1434">
            <v>0</v>
          </cell>
          <cell r="I1434">
            <v>0</v>
          </cell>
          <cell r="J1434">
            <v>0</v>
          </cell>
          <cell r="K1434">
            <v>9</v>
          </cell>
          <cell r="L1434">
            <v>0</v>
          </cell>
          <cell r="M1434">
            <v>0</v>
          </cell>
        </row>
        <row r="1435">
          <cell r="C1435">
            <v>0</v>
          </cell>
          <cell r="D1435">
            <v>0</v>
          </cell>
          <cell r="E1435">
            <v>0</v>
          </cell>
          <cell r="F1435">
            <v>0</v>
          </cell>
          <cell r="G1435">
            <v>0</v>
          </cell>
          <cell r="H1435">
            <v>0</v>
          </cell>
          <cell r="I1435">
            <v>0</v>
          </cell>
          <cell r="J1435">
            <v>0</v>
          </cell>
          <cell r="K1435">
            <v>9</v>
          </cell>
          <cell r="L1435">
            <v>0</v>
          </cell>
          <cell r="M1435">
            <v>0</v>
          </cell>
        </row>
        <row r="1436">
          <cell r="C1436">
            <v>0</v>
          </cell>
          <cell r="D1436">
            <v>0</v>
          </cell>
          <cell r="E1436">
            <v>0</v>
          </cell>
          <cell r="F1436">
            <v>0</v>
          </cell>
          <cell r="G1436">
            <v>0</v>
          </cell>
          <cell r="H1436">
            <v>0</v>
          </cell>
          <cell r="I1436">
            <v>0</v>
          </cell>
          <cell r="J1436">
            <v>0</v>
          </cell>
          <cell r="K1436">
            <v>9</v>
          </cell>
          <cell r="L1436">
            <v>0</v>
          </cell>
          <cell r="M1436">
            <v>0</v>
          </cell>
        </row>
        <row r="1437">
          <cell r="C1437">
            <v>0</v>
          </cell>
          <cell r="D1437">
            <v>0</v>
          </cell>
          <cell r="E1437">
            <v>0</v>
          </cell>
          <cell r="F1437">
            <v>0</v>
          </cell>
          <cell r="G1437">
            <v>0</v>
          </cell>
          <cell r="H1437">
            <v>0</v>
          </cell>
          <cell r="I1437">
            <v>0</v>
          </cell>
          <cell r="J1437">
            <v>0</v>
          </cell>
          <cell r="K1437">
            <v>9</v>
          </cell>
          <cell r="L1437">
            <v>0</v>
          </cell>
          <cell r="M1437">
            <v>0</v>
          </cell>
        </row>
        <row r="1438">
          <cell r="C1438">
            <v>0</v>
          </cell>
          <cell r="D1438">
            <v>0</v>
          </cell>
          <cell r="E1438">
            <v>0</v>
          </cell>
          <cell r="F1438">
            <v>0</v>
          </cell>
          <cell r="G1438">
            <v>0</v>
          </cell>
          <cell r="H1438">
            <v>0</v>
          </cell>
          <cell r="I1438">
            <v>0</v>
          </cell>
          <cell r="J1438">
            <v>0</v>
          </cell>
          <cell r="K1438">
            <v>9</v>
          </cell>
          <cell r="L1438">
            <v>0</v>
          </cell>
          <cell r="M1438">
            <v>0</v>
          </cell>
        </row>
        <row r="1439">
          <cell r="C1439">
            <v>0</v>
          </cell>
          <cell r="D1439">
            <v>0</v>
          </cell>
          <cell r="E1439">
            <v>0</v>
          </cell>
          <cell r="F1439">
            <v>0</v>
          </cell>
          <cell r="G1439">
            <v>0</v>
          </cell>
          <cell r="H1439">
            <v>0</v>
          </cell>
          <cell r="I1439">
            <v>0</v>
          </cell>
          <cell r="J1439">
            <v>0</v>
          </cell>
          <cell r="K1439">
            <v>9</v>
          </cell>
          <cell r="L1439">
            <v>0</v>
          </cell>
          <cell r="M1439">
            <v>0</v>
          </cell>
        </row>
        <row r="1440">
          <cell r="C1440">
            <v>0</v>
          </cell>
          <cell r="D1440">
            <v>0</v>
          </cell>
          <cell r="E1440">
            <v>0</v>
          </cell>
          <cell r="F1440">
            <v>0</v>
          </cell>
          <cell r="G1440">
            <v>0</v>
          </cell>
          <cell r="H1440">
            <v>0</v>
          </cell>
          <cell r="I1440">
            <v>0</v>
          </cell>
          <cell r="J1440">
            <v>0</v>
          </cell>
          <cell r="K1440">
            <v>9</v>
          </cell>
          <cell r="L1440">
            <v>0</v>
          </cell>
          <cell r="M1440">
            <v>0</v>
          </cell>
        </row>
        <row r="1441">
          <cell r="C1441">
            <v>0</v>
          </cell>
          <cell r="D1441">
            <v>0</v>
          </cell>
          <cell r="E1441">
            <v>0</v>
          </cell>
          <cell r="F1441">
            <v>0</v>
          </cell>
          <cell r="G1441">
            <v>0</v>
          </cell>
          <cell r="H1441">
            <v>0</v>
          </cell>
          <cell r="I1441">
            <v>0</v>
          </cell>
          <cell r="J1441">
            <v>0</v>
          </cell>
          <cell r="K1441">
            <v>9</v>
          </cell>
          <cell r="L1441">
            <v>0</v>
          </cell>
          <cell r="M1441">
            <v>0</v>
          </cell>
        </row>
        <row r="1442">
          <cell r="C1442">
            <v>0</v>
          </cell>
          <cell r="D1442">
            <v>0</v>
          </cell>
          <cell r="E1442">
            <v>0</v>
          </cell>
          <cell r="F1442">
            <v>0</v>
          </cell>
          <cell r="G1442">
            <v>0</v>
          </cell>
          <cell r="H1442">
            <v>0</v>
          </cell>
          <cell r="I1442">
            <v>0</v>
          </cell>
          <cell r="J1442">
            <v>0</v>
          </cell>
          <cell r="K1442">
            <v>9</v>
          </cell>
          <cell r="L1442">
            <v>0</v>
          </cell>
          <cell r="M1442">
            <v>0</v>
          </cell>
        </row>
        <row r="1443">
          <cell r="C1443">
            <v>0</v>
          </cell>
          <cell r="D1443">
            <v>0</v>
          </cell>
          <cell r="E1443">
            <v>0</v>
          </cell>
          <cell r="F1443">
            <v>0</v>
          </cell>
          <cell r="G1443">
            <v>0</v>
          </cell>
          <cell r="H1443">
            <v>0</v>
          </cell>
          <cell r="I1443">
            <v>0</v>
          </cell>
          <cell r="J1443">
            <v>0</v>
          </cell>
          <cell r="K1443">
            <v>9</v>
          </cell>
          <cell r="L1443">
            <v>0</v>
          </cell>
          <cell r="M1443">
            <v>0</v>
          </cell>
        </row>
        <row r="1444">
          <cell r="C1444">
            <v>0</v>
          </cell>
          <cell r="D1444">
            <v>0</v>
          </cell>
          <cell r="E1444">
            <v>0</v>
          </cell>
          <cell r="F1444">
            <v>0</v>
          </cell>
          <cell r="G1444">
            <v>0</v>
          </cell>
          <cell r="H1444">
            <v>0</v>
          </cell>
          <cell r="I1444">
            <v>0</v>
          </cell>
          <cell r="J1444">
            <v>0</v>
          </cell>
          <cell r="K1444">
            <v>9</v>
          </cell>
          <cell r="L1444">
            <v>0</v>
          </cell>
          <cell r="M1444">
            <v>0</v>
          </cell>
        </row>
        <row r="1445">
          <cell r="C1445">
            <v>0</v>
          </cell>
          <cell r="D1445">
            <v>0</v>
          </cell>
          <cell r="E1445">
            <v>0</v>
          </cell>
          <cell r="F1445">
            <v>0</v>
          </cell>
          <cell r="G1445">
            <v>0</v>
          </cell>
          <cell r="H1445">
            <v>0</v>
          </cell>
          <cell r="I1445">
            <v>0</v>
          </cell>
          <cell r="J1445">
            <v>0</v>
          </cell>
          <cell r="K1445">
            <v>9</v>
          </cell>
          <cell r="L1445">
            <v>0</v>
          </cell>
          <cell r="M1445">
            <v>0</v>
          </cell>
        </row>
        <row r="1446">
          <cell r="C1446">
            <v>0</v>
          </cell>
          <cell r="D1446">
            <v>0</v>
          </cell>
          <cell r="E1446">
            <v>0</v>
          </cell>
          <cell r="F1446">
            <v>0</v>
          </cell>
          <cell r="G1446">
            <v>0</v>
          </cell>
          <cell r="H1446">
            <v>0</v>
          </cell>
          <cell r="I1446">
            <v>0</v>
          </cell>
          <cell r="J1446">
            <v>0</v>
          </cell>
          <cell r="K1446">
            <v>9</v>
          </cell>
          <cell r="L1446">
            <v>0</v>
          </cell>
          <cell r="M1446">
            <v>0</v>
          </cell>
        </row>
        <row r="1447">
          <cell r="C1447">
            <v>0</v>
          </cell>
          <cell r="D1447">
            <v>0</v>
          </cell>
          <cell r="E1447">
            <v>0</v>
          </cell>
          <cell r="F1447">
            <v>0</v>
          </cell>
          <cell r="G1447">
            <v>0</v>
          </cell>
          <cell r="H1447">
            <v>0</v>
          </cell>
          <cell r="I1447">
            <v>0</v>
          </cell>
          <cell r="J1447">
            <v>0</v>
          </cell>
          <cell r="K1447">
            <v>9</v>
          </cell>
          <cell r="L1447">
            <v>0</v>
          </cell>
          <cell r="M1447">
            <v>0</v>
          </cell>
        </row>
        <row r="1448">
          <cell r="C1448">
            <v>0</v>
          </cell>
          <cell r="D1448">
            <v>0</v>
          </cell>
          <cell r="E1448">
            <v>0</v>
          </cell>
          <cell r="F1448">
            <v>0</v>
          </cell>
          <cell r="G1448">
            <v>0</v>
          </cell>
          <cell r="H1448">
            <v>0</v>
          </cell>
          <cell r="I1448">
            <v>0</v>
          </cell>
          <cell r="J1448">
            <v>0</v>
          </cell>
          <cell r="K1448">
            <v>9</v>
          </cell>
          <cell r="L1448">
            <v>0</v>
          </cell>
          <cell r="M1448">
            <v>0</v>
          </cell>
        </row>
        <row r="1449">
          <cell r="C1449">
            <v>0</v>
          </cell>
          <cell r="D1449">
            <v>0</v>
          </cell>
          <cell r="E1449">
            <v>0</v>
          </cell>
          <cell r="F1449">
            <v>0</v>
          </cell>
          <cell r="G1449">
            <v>0</v>
          </cell>
          <cell r="H1449">
            <v>0</v>
          </cell>
          <cell r="I1449">
            <v>0</v>
          </cell>
          <cell r="J1449">
            <v>0</v>
          </cell>
          <cell r="K1449">
            <v>9</v>
          </cell>
          <cell r="L1449">
            <v>0</v>
          </cell>
          <cell r="M1449">
            <v>0</v>
          </cell>
        </row>
        <row r="1450">
          <cell r="C1450">
            <v>0</v>
          </cell>
          <cell r="D1450">
            <v>0</v>
          </cell>
          <cell r="E1450">
            <v>0</v>
          </cell>
          <cell r="F1450">
            <v>0</v>
          </cell>
          <cell r="G1450">
            <v>0</v>
          </cell>
          <cell r="H1450">
            <v>0</v>
          </cell>
          <cell r="I1450">
            <v>0</v>
          </cell>
          <cell r="J1450">
            <v>0</v>
          </cell>
          <cell r="K1450">
            <v>9</v>
          </cell>
          <cell r="L1450">
            <v>0</v>
          </cell>
          <cell r="M1450">
            <v>0</v>
          </cell>
        </row>
        <row r="1451">
          <cell r="C1451">
            <v>0</v>
          </cell>
          <cell r="D1451">
            <v>0</v>
          </cell>
          <cell r="E1451">
            <v>0</v>
          </cell>
          <cell r="F1451">
            <v>0</v>
          </cell>
          <cell r="G1451">
            <v>0</v>
          </cell>
          <cell r="H1451">
            <v>0</v>
          </cell>
          <cell r="I1451">
            <v>0</v>
          </cell>
          <cell r="J1451">
            <v>0</v>
          </cell>
          <cell r="K1451">
            <v>9</v>
          </cell>
          <cell r="L1451">
            <v>0</v>
          </cell>
          <cell r="M1451">
            <v>0</v>
          </cell>
        </row>
        <row r="1452">
          <cell r="C1452">
            <v>0</v>
          </cell>
          <cell r="D1452">
            <v>0</v>
          </cell>
          <cell r="E1452">
            <v>0</v>
          </cell>
          <cell r="F1452">
            <v>0</v>
          </cell>
          <cell r="G1452">
            <v>0</v>
          </cell>
          <cell r="H1452">
            <v>0</v>
          </cell>
          <cell r="I1452">
            <v>0</v>
          </cell>
          <cell r="J1452">
            <v>0</v>
          </cell>
          <cell r="K1452">
            <v>9</v>
          </cell>
          <cell r="L1452">
            <v>0</v>
          </cell>
          <cell r="M1452">
            <v>0</v>
          </cell>
        </row>
        <row r="1453">
          <cell r="C1453">
            <v>0</v>
          </cell>
          <cell r="D1453">
            <v>0</v>
          </cell>
          <cell r="E1453">
            <v>0</v>
          </cell>
          <cell r="F1453">
            <v>0</v>
          </cell>
          <cell r="G1453">
            <v>0</v>
          </cell>
          <cell r="H1453">
            <v>0</v>
          </cell>
          <cell r="I1453">
            <v>0</v>
          </cell>
          <cell r="J1453">
            <v>0</v>
          </cell>
          <cell r="K1453">
            <v>9</v>
          </cell>
          <cell r="L1453">
            <v>0</v>
          </cell>
          <cell r="M1453">
            <v>0</v>
          </cell>
        </row>
        <row r="1454">
          <cell r="C1454">
            <v>0</v>
          </cell>
          <cell r="D1454">
            <v>0</v>
          </cell>
          <cell r="E1454">
            <v>0</v>
          </cell>
          <cell r="F1454">
            <v>0</v>
          </cell>
          <cell r="G1454">
            <v>0</v>
          </cell>
          <cell r="H1454">
            <v>0</v>
          </cell>
          <cell r="I1454">
            <v>0</v>
          </cell>
          <cell r="J1454">
            <v>0</v>
          </cell>
          <cell r="K1454">
            <v>9</v>
          </cell>
          <cell r="L1454">
            <v>0</v>
          </cell>
          <cell r="M1454">
            <v>0</v>
          </cell>
        </row>
        <row r="1455">
          <cell r="C1455">
            <v>0</v>
          </cell>
          <cell r="D1455">
            <v>0</v>
          </cell>
          <cell r="E1455">
            <v>0</v>
          </cell>
          <cell r="F1455">
            <v>0</v>
          </cell>
          <cell r="G1455">
            <v>0</v>
          </cell>
          <cell r="H1455">
            <v>0</v>
          </cell>
          <cell r="I1455">
            <v>0</v>
          </cell>
          <cell r="J1455">
            <v>0</v>
          </cell>
          <cell r="K1455">
            <v>9</v>
          </cell>
          <cell r="L1455">
            <v>0</v>
          </cell>
          <cell r="M1455">
            <v>0</v>
          </cell>
        </row>
        <row r="1456">
          <cell r="C1456">
            <v>0</v>
          </cell>
          <cell r="D1456">
            <v>0</v>
          </cell>
          <cell r="E1456">
            <v>0</v>
          </cell>
          <cell r="F1456">
            <v>0</v>
          </cell>
          <cell r="G1456">
            <v>0</v>
          </cell>
          <cell r="H1456">
            <v>0</v>
          </cell>
          <cell r="I1456">
            <v>0</v>
          </cell>
          <cell r="J1456">
            <v>0</v>
          </cell>
          <cell r="K1456">
            <v>9</v>
          </cell>
          <cell r="L1456">
            <v>0</v>
          </cell>
          <cell r="M1456">
            <v>0</v>
          </cell>
        </row>
        <row r="1457">
          <cell r="C1457">
            <v>0</v>
          </cell>
          <cell r="D1457">
            <v>0</v>
          </cell>
          <cell r="E1457">
            <v>0</v>
          </cell>
          <cell r="F1457">
            <v>0</v>
          </cell>
          <cell r="G1457">
            <v>0</v>
          </cell>
          <cell r="H1457">
            <v>0</v>
          </cell>
          <cell r="I1457">
            <v>0</v>
          </cell>
          <cell r="J1457">
            <v>0</v>
          </cell>
          <cell r="K1457">
            <v>9</v>
          </cell>
          <cell r="L1457">
            <v>0</v>
          </cell>
          <cell r="M1457">
            <v>0</v>
          </cell>
        </row>
        <row r="1458">
          <cell r="C1458">
            <v>0</v>
          </cell>
          <cell r="D1458">
            <v>0</v>
          </cell>
          <cell r="E1458">
            <v>0</v>
          </cell>
          <cell r="F1458">
            <v>0</v>
          </cell>
          <cell r="G1458">
            <v>0</v>
          </cell>
          <cell r="H1458">
            <v>0</v>
          </cell>
          <cell r="I1458">
            <v>0</v>
          </cell>
          <cell r="J1458">
            <v>0</v>
          </cell>
          <cell r="K1458">
            <v>9</v>
          </cell>
          <cell r="L1458">
            <v>0</v>
          </cell>
          <cell r="M1458">
            <v>0</v>
          </cell>
        </row>
        <row r="1459">
          <cell r="C1459">
            <v>0</v>
          </cell>
          <cell r="D1459">
            <v>0</v>
          </cell>
          <cell r="E1459">
            <v>0</v>
          </cell>
          <cell r="F1459">
            <v>0</v>
          </cell>
          <cell r="G1459">
            <v>0</v>
          </cell>
          <cell r="H1459">
            <v>0</v>
          </cell>
          <cell r="I1459">
            <v>0</v>
          </cell>
          <cell r="J1459">
            <v>0</v>
          </cell>
          <cell r="K1459">
            <v>9</v>
          </cell>
          <cell r="L1459">
            <v>0</v>
          </cell>
          <cell r="M1459">
            <v>0</v>
          </cell>
        </row>
        <row r="1460">
          <cell r="C1460">
            <v>0</v>
          </cell>
          <cell r="D1460">
            <v>0</v>
          </cell>
          <cell r="E1460">
            <v>0</v>
          </cell>
          <cell r="F1460">
            <v>0</v>
          </cell>
          <cell r="G1460">
            <v>0</v>
          </cell>
          <cell r="H1460">
            <v>0</v>
          </cell>
          <cell r="I1460">
            <v>0</v>
          </cell>
          <cell r="J1460">
            <v>0</v>
          </cell>
          <cell r="K1460">
            <v>9</v>
          </cell>
          <cell r="L1460">
            <v>0</v>
          </cell>
          <cell r="M1460">
            <v>0</v>
          </cell>
        </row>
        <row r="1461">
          <cell r="C1461">
            <v>0</v>
          </cell>
          <cell r="D1461">
            <v>0</v>
          </cell>
          <cell r="E1461">
            <v>0</v>
          </cell>
          <cell r="F1461">
            <v>0</v>
          </cell>
          <cell r="G1461">
            <v>0</v>
          </cell>
          <cell r="H1461">
            <v>0</v>
          </cell>
          <cell r="I1461">
            <v>0</v>
          </cell>
          <cell r="J1461">
            <v>0</v>
          </cell>
          <cell r="K1461">
            <v>9</v>
          </cell>
          <cell r="L1461">
            <v>0</v>
          </cell>
          <cell r="M1461">
            <v>0</v>
          </cell>
        </row>
        <row r="1462">
          <cell r="C1462">
            <v>0</v>
          </cell>
          <cell r="D1462">
            <v>0</v>
          </cell>
          <cell r="E1462">
            <v>0</v>
          </cell>
          <cell r="F1462">
            <v>0</v>
          </cell>
          <cell r="G1462">
            <v>0</v>
          </cell>
          <cell r="H1462">
            <v>0</v>
          </cell>
          <cell r="I1462">
            <v>0</v>
          </cell>
          <cell r="J1462">
            <v>0</v>
          </cell>
          <cell r="K1462">
            <v>9</v>
          </cell>
          <cell r="L1462">
            <v>0</v>
          </cell>
          <cell r="M1462">
            <v>0</v>
          </cell>
        </row>
        <row r="1463">
          <cell r="C1463">
            <v>0</v>
          </cell>
          <cell r="D1463">
            <v>0</v>
          </cell>
          <cell r="E1463">
            <v>0</v>
          </cell>
          <cell r="F1463">
            <v>0</v>
          </cell>
          <cell r="G1463">
            <v>0</v>
          </cell>
          <cell r="H1463">
            <v>0</v>
          </cell>
          <cell r="I1463">
            <v>0</v>
          </cell>
          <cell r="J1463">
            <v>0</v>
          </cell>
          <cell r="K1463">
            <v>9</v>
          </cell>
          <cell r="L1463">
            <v>0</v>
          </cell>
          <cell r="M1463">
            <v>0</v>
          </cell>
        </row>
        <row r="1464">
          <cell r="C1464">
            <v>0</v>
          </cell>
          <cell r="D1464">
            <v>0</v>
          </cell>
          <cell r="E1464">
            <v>0</v>
          </cell>
          <cell r="F1464">
            <v>0</v>
          </cell>
          <cell r="G1464">
            <v>0</v>
          </cell>
          <cell r="H1464">
            <v>0</v>
          </cell>
          <cell r="I1464">
            <v>0</v>
          </cell>
          <cell r="J1464">
            <v>0</v>
          </cell>
          <cell r="K1464">
            <v>9</v>
          </cell>
          <cell r="L1464">
            <v>0</v>
          </cell>
          <cell r="M1464">
            <v>0</v>
          </cell>
        </row>
        <row r="1465">
          <cell r="C1465">
            <v>0</v>
          </cell>
          <cell r="D1465">
            <v>0</v>
          </cell>
          <cell r="E1465">
            <v>0</v>
          </cell>
          <cell r="F1465">
            <v>0</v>
          </cell>
          <cell r="G1465">
            <v>0</v>
          </cell>
          <cell r="H1465">
            <v>0</v>
          </cell>
          <cell r="I1465">
            <v>0</v>
          </cell>
          <cell r="J1465">
            <v>0</v>
          </cell>
          <cell r="K1465">
            <v>9</v>
          </cell>
          <cell r="L1465">
            <v>0</v>
          </cell>
          <cell r="M1465">
            <v>0</v>
          </cell>
        </row>
        <row r="1466">
          <cell r="C1466">
            <v>0</v>
          </cell>
          <cell r="D1466">
            <v>0</v>
          </cell>
          <cell r="E1466">
            <v>0</v>
          </cell>
          <cell r="F1466">
            <v>0</v>
          </cell>
          <cell r="G1466">
            <v>0</v>
          </cell>
          <cell r="H1466">
            <v>0</v>
          </cell>
          <cell r="I1466">
            <v>0</v>
          </cell>
          <cell r="J1466">
            <v>0</v>
          </cell>
          <cell r="K1466">
            <v>9</v>
          </cell>
          <cell r="L1466">
            <v>0</v>
          </cell>
          <cell r="M1466">
            <v>0</v>
          </cell>
        </row>
        <row r="1467">
          <cell r="C1467">
            <v>0</v>
          </cell>
          <cell r="D1467">
            <v>0</v>
          </cell>
          <cell r="E1467">
            <v>0</v>
          </cell>
          <cell r="F1467">
            <v>0</v>
          </cell>
          <cell r="G1467">
            <v>0</v>
          </cell>
          <cell r="H1467">
            <v>0</v>
          </cell>
          <cell r="I1467">
            <v>0</v>
          </cell>
          <cell r="J1467">
            <v>0</v>
          </cell>
          <cell r="K1467">
            <v>9</v>
          </cell>
          <cell r="L1467">
            <v>0</v>
          </cell>
          <cell r="M1467">
            <v>0</v>
          </cell>
        </row>
        <row r="1468">
          <cell r="C1468">
            <v>0</v>
          </cell>
          <cell r="D1468">
            <v>0</v>
          </cell>
          <cell r="E1468">
            <v>0</v>
          </cell>
          <cell r="F1468">
            <v>0</v>
          </cell>
          <cell r="G1468">
            <v>0</v>
          </cell>
          <cell r="H1468">
            <v>0</v>
          </cell>
          <cell r="I1468">
            <v>0</v>
          </cell>
          <cell r="J1468">
            <v>0</v>
          </cell>
          <cell r="K1468">
            <v>9</v>
          </cell>
          <cell r="L1468">
            <v>0</v>
          </cell>
          <cell r="M1468">
            <v>0</v>
          </cell>
        </row>
        <row r="1469">
          <cell r="C1469">
            <v>0</v>
          </cell>
          <cell r="D1469">
            <v>0</v>
          </cell>
          <cell r="E1469">
            <v>0</v>
          </cell>
          <cell r="F1469">
            <v>0</v>
          </cell>
          <cell r="G1469">
            <v>0</v>
          </cell>
          <cell r="H1469">
            <v>0</v>
          </cell>
          <cell r="I1469">
            <v>0</v>
          </cell>
          <cell r="J1469">
            <v>0</v>
          </cell>
          <cell r="K1469">
            <v>9</v>
          </cell>
          <cell r="L1469">
            <v>0</v>
          </cell>
          <cell r="M1469">
            <v>0</v>
          </cell>
        </row>
        <row r="1470">
          <cell r="C1470">
            <v>0</v>
          </cell>
          <cell r="D1470">
            <v>0</v>
          </cell>
          <cell r="E1470">
            <v>0</v>
          </cell>
          <cell r="F1470">
            <v>0</v>
          </cell>
          <cell r="G1470">
            <v>0</v>
          </cell>
          <cell r="H1470">
            <v>0</v>
          </cell>
          <cell r="I1470">
            <v>0</v>
          </cell>
          <cell r="J1470">
            <v>0</v>
          </cell>
          <cell r="K1470">
            <v>9</v>
          </cell>
          <cell r="L1470">
            <v>0</v>
          </cell>
          <cell r="M1470">
            <v>0</v>
          </cell>
        </row>
        <row r="1471">
          <cell r="C1471">
            <v>0</v>
          </cell>
          <cell r="D1471">
            <v>0</v>
          </cell>
          <cell r="E1471">
            <v>0</v>
          </cell>
          <cell r="F1471">
            <v>0</v>
          </cell>
          <cell r="G1471">
            <v>0</v>
          </cell>
          <cell r="H1471">
            <v>0</v>
          </cell>
          <cell r="I1471">
            <v>0</v>
          </cell>
          <cell r="J1471">
            <v>0</v>
          </cell>
          <cell r="K1471">
            <v>9</v>
          </cell>
          <cell r="L1471">
            <v>0</v>
          </cell>
          <cell r="M1471">
            <v>0</v>
          </cell>
        </row>
        <row r="1472">
          <cell r="C1472">
            <v>0</v>
          </cell>
          <cell r="D1472">
            <v>0</v>
          </cell>
          <cell r="E1472">
            <v>0</v>
          </cell>
          <cell r="F1472">
            <v>0</v>
          </cell>
          <cell r="G1472">
            <v>0</v>
          </cell>
          <cell r="H1472">
            <v>0</v>
          </cell>
          <cell r="I1472">
            <v>0</v>
          </cell>
          <cell r="J1472">
            <v>0</v>
          </cell>
          <cell r="K1472">
            <v>9</v>
          </cell>
          <cell r="L1472">
            <v>0</v>
          </cell>
          <cell r="M1472">
            <v>0</v>
          </cell>
        </row>
        <row r="1473">
          <cell r="C1473">
            <v>0</v>
          </cell>
          <cell r="D1473">
            <v>0</v>
          </cell>
          <cell r="E1473">
            <v>0</v>
          </cell>
          <cell r="F1473">
            <v>0</v>
          </cell>
          <cell r="G1473">
            <v>0</v>
          </cell>
          <cell r="H1473">
            <v>0</v>
          </cell>
          <cell r="I1473">
            <v>0</v>
          </cell>
          <cell r="J1473">
            <v>0</v>
          </cell>
          <cell r="K1473">
            <v>9</v>
          </cell>
          <cell r="L1473">
            <v>0</v>
          </cell>
          <cell r="M1473">
            <v>0</v>
          </cell>
        </row>
        <row r="1474">
          <cell r="C1474">
            <v>0</v>
          </cell>
          <cell r="D1474">
            <v>0</v>
          </cell>
          <cell r="E1474">
            <v>0</v>
          </cell>
          <cell r="F1474">
            <v>0</v>
          </cell>
          <cell r="G1474">
            <v>0</v>
          </cell>
          <cell r="H1474">
            <v>0</v>
          </cell>
          <cell r="I1474">
            <v>0</v>
          </cell>
          <cell r="J1474">
            <v>0</v>
          </cell>
          <cell r="K1474">
            <v>9</v>
          </cell>
          <cell r="L1474">
            <v>0</v>
          </cell>
          <cell r="M1474">
            <v>0</v>
          </cell>
        </row>
        <row r="1475">
          <cell r="C1475">
            <v>0</v>
          </cell>
          <cell r="D1475">
            <v>0</v>
          </cell>
          <cell r="E1475">
            <v>0</v>
          </cell>
          <cell r="F1475">
            <v>0</v>
          </cell>
          <cell r="G1475">
            <v>0</v>
          </cell>
          <cell r="H1475">
            <v>0</v>
          </cell>
          <cell r="I1475">
            <v>0</v>
          </cell>
          <cell r="J1475">
            <v>0</v>
          </cell>
          <cell r="K1475">
            <v>9</v>
          </cell>
          <cell r="L1475">
            <v>0</v>
          </cell>
          <cell r="M1475">
            <v>0</v>
          </cell>
        </row>
        <row r="1476">
          <cell r="C1476">
            <v>0</v>
          </cell>
          <cell r="D1476">
            <v>0</v>
          </cell>
          <cell r="E1476">
            <v>0</v>
          </cell>
          <cell r="F1476">
            <v>0</v>
          </cell>
          <cell r="G1476">
            <v>0</v>
          </cell>
          <cell r="H1476">
            <v>0</v>
          </cell>
          <cell r="I1476">
            <v>0</v>
          </cell>
          <cell r="J1476">
            <v>0</v>
          </cell>
          <cell r="K1476">
            <v>9</v>
          </cell>
          <cell r="L1476">
            <v>0</v>
          </cell>
          <cell r="M1476">
            <v>0</v>
          </cell>
        </row>
        <row r="1477">
          <cell r="C1477">
            <v>0</v>
          </cell>
          <cell r="D1477">
            <v>0</v>
          </cell>
          <cell r="E1477">
            <v>0</v>
          </cell>
          <cell r="F1477">
            <v>0</v>
          </cell>
          <cell r="G1477">
            <v>0</v>
          </cell>
          <cell r="H1477">
            <v>0</v>
          </cell>
          <cell r="I1477">
            <v>0</v>
          </cell>
          <cell r="J1477">
            <v>0</v>
          </cell>
          <cell r="K1477">
            <v>9</v>
          </cell>
          <cell r="L1477">
            <v>0</v>
          </cell>
          <cell r="M1477">
            <v>0</v>
          </cell>
        </row>
        <row r="1478">
          <cell r="C1478">
            <v>0</v>
          </cell>
          <cell r="D1478">
            <v>0</v>
          </cell>
          <cell r="E1478">
            <v>0</v>
          </cell>
          <cell r="F1478">
            <v>0</v>
          </cell>
          <cell r="G1478">
            <v>0</v>
          </cell>
          <cell r="H1478">
            <v>0</v>
          </cell>
          <cell r="I1478">
            <v>0</v>
          </cell>
          <cell r="J1478">
            <v>0</v>
          </cell>
          <cell r="K1478">
            <v>9</v>
          </cell>
          <cell r="L1478">
            <v>0</v>
          </cell>
          <cell r="M1478">
            <v>0</v>
          </cell>
        </row>
        <row r="1479">
          <cell r="C1479">
            <v>0</v>
          </cell>
          <cell r="D1479">
            <v>0</v>
          </cell>
          <cell r="E1479">
            <v>0</v>
          </cell>
          <cell r="F1479">
            <v>0</v>
          </cell>
          <cell r="G1479">
            <v>0</v>
          </cell>
          <cell r="H1479">
            <v>0</v>
          </cell>
          <cell r="I1479">
            <v>0</v>
          </cell>
          <cell r="J1479">
            <v>0</v>
          </cell>
          <cell r="K1479">
            <v>9</v>
          </cell>
          <cell r="L1479">
            <v>0</v>
          </cell>
          <cell r="M1479">
            <v>0</v>
          </cell>
        </row>
        <row r="1480">
          <cell r="C1480">
            <v>0</v>
          </cell>
          <cell r="D1480">
            <v>0</v>
          </cell>
          <cell r="E1480">
            <v>0</v>
          </cell>
          <cell r="F1480">
            <v>0</v>
          </cell>
          <cell r="G1480">
            <v>0</v>
          </cell>
          <cell r="H1480">
            <v>0</v>
          </cell>
          <cell r="I1480">
            <v>0</v>
          </cell>
          <cell r="J1480">
            <v>0</v>
          </cell>
          <cell r="K1480">
            <v>9</v>
          </cell>
          <cell r="L1480">
            <v>0</v>
          </cell>
          <cell r="M1480">
            <v>0</v>
          </cell>
        </row>
        <row r="1481">
          <cell r="C1481">
            <v>0</v>
          </cell>
          <cell r="D1481">
            <v>0</v>
          </cell>
          <cell r="E1481">
            <v>0</v>
          </cell>
          <cell r="F1481">
            <v>0</v>
          </cell>
          <cell r="G1481">
            <v>0</v>
          </cell>
          <cell r="H1481">
            <v>0</v>
          </cell>
          <cell r="I1481">
            <v>0</v>
          </cell>
          <cell r="J1481">
            <v>0</v>
          </cell>
          <cell r="K1481">
            <v>9</v>
          </cell>
          <cell r="L1481">
            <v>0</v>
          </cell>
          <cell r="M1481">
            <v>0</v>
          </cell>
        </row>
        <row r="1482">
          <cell r="C1482">
            <v>0</v>
          </cell>
          <cell r="D1482">
            <v>0</v>
          </cell>
          <cell r="E1482">
            <v>0</v>
          </cell>
          <cell r="F1482">
            <v>0</v>
          </cell>
          <cell r="G1482">
            <v>0</v>
          </cell>
          <cell r="H1482">
            <v>0</v>
          </cell>
          <cell r="I1482">
            <v>0</v>
          </cell>
          <cell r="J1482">
            <v>0</v>
          </cell>
          <cell r="K1482">
            <v>9</v>
          </cell>
          <cell r="L1482">
            <v>0</v>
          </cell>
          <cell r="M1482">
            <v>0</v>
          </cell>
        </row>
        <row r="1483">
          <cell r="C1483">
            <v>0</v>
          </cell>
          <cell r="D1483">
            <v>0</v>
          </cell>
          <cell r="E1483">
            <v>0</v>
          </cell>
          <cell r="F1483">
            <v>0</v>
          </cell>
          <cell r="G1483">
            <v>0</v>
          </cell>
          <cell r="H1483">
            <v>0</v>
          </cell>
          <cell r="I1483">
            <v>0</v>
          </cell>
          <cell r="J1483">
            <v>0</v>
          </cell>
          <cell r="K1483">
            <v>9</v>
          </cell>
          <cell r="L1483">
            <v>0</v>
          </cell>
          <cell r="M1483">
            <v>0</v>
          </cell>
        </row>
        <row r="1484">
          <cell r="C1484">
            <v>0</v>
          </cell>
          <cell r="D1484">
            <v>0</v>
          </cell>
          <cell r="E1484">
            <v>0</v>
          </cell>
          <cell r="F1484">
            <v>0</v>
          </cell>
          <cell r="G1484">
            <v>0</v>
          </cell>
          <cell r="H1484">
            <v>0</v>
          </cell>
          <cell r="I1484">
            <v>0</v>
          </cell>
          <cell r="J1484">
            <v>0</v>
          </cell>
          <cell r="K1484">
            <v>9</v>
          </cell>
          <cell r="L1484">
            <v>0</v>
          </cell>
          <cell r="M1484">
            <v>0</v>
          </cell>
        </row>
        <row r="1485">
          <cell r="C1485">
            <v>0</v>
          </cell>
          <cell r="D1485">
            <v>0</v>
          </cell>
          <cell r="E1485">
            <v>0</v>
          </cell>
          <cell r="F1485">
            <v>0</v>
          </cell>
          <cell r="G1485">
            <v>0</v>
          </cell>
          <cell r="H1485">
            <v>0</v>
          </cell>
          <cell r="I1485">
            <v>0</v>
          </cell>
          <cell r="J1485">
            <v>0</v>
          </cell>
          <cell r="K1485">
            <v>9</v>
          </cell>
          <cell r="L1485">
            <v>0</v>
          </cell>
          <cell r="M1485">
            <v>0</v>
          </cell>
        </row>
        <row r="1486">
          <cell r="C1486">
            <v>0</v>
          </cell>
          <cell r="D1486">
            <v>0</v>
          </cell>
          <cell r="E1486">
            <v>0</v>
          </cell>
          <cell r="F1486">
            <v>0</v>
          </cell>
          <cell r="G1486">
            <v>0</v>
          </cell>
          <cell r="H1486">
            <v>0</v>
          </cell>
          <cell r="I1486">
            <v>0</v>
          </cell>
          <cell r="J1486">
            <v>0</v>
          </cell>
          <cell r="K1486">
            <v>9</v>
          </cell>
          <cell r="L1486">
            <v>0</v>
          </cell>
          <cell r="M1486">
            <v>0</v>
          </cell>
        </row>
        <row r="1487">
          <cell r="C1487">
            <v>0</v>
          </cell>
          <cell r="D1487">
            <v>0</v>
          </cell>
          <cell r="E1487">
            <v>0</v>
          </cell>
          <cell r="F1487">
            <v>0</v>
          </cell>
          <cell r="G1487">
            <v>0</v>
          </cell>
          <cell r="H1487">
            <v>0</v>
          </cell>
          <cell r="I1487">
            <v>0</v>
          </cell>
          <cell r="J1487">
            <v>0</v>
          </cell>
          <cell r="K1487">
            <v>9</v>
          </cell>
          <cell r="L1487">
            <v>0</v>
          </cell>
          <cell r="M1487">
            <v>0</v>
          </cell>
        </row>
        <row r="1488">
          <cell r="C1488">
            <v>0</v>
          </cell>
          <cell r="D1488">
            <v>0</v>
          </cell>
          <cell r="E1488">
            <v>0</v>
          </cell>
          <cell r="F1488">
            <v>0</v>
          </cell>
          <cell r="G1488">
            <v>0</v>
          </cell>
          <cell r="H1488">
            <v>0</v>
          </cell>
          <cell r="I1488">
            <v>0</v>
          </cell>
          <cell r="J1488">
            <v>0</v>
          </cell>
          <cell r="K1488">
            <v>9</v>
          </cell>
          <cell r="L1488">
            <v>0</v>
          </cell>
          <cell r="M1488">
            <v>0</v>
          </cell>
        </row>
        <row r="1489">
          <cell r="C1489">
            <v>0</v>
          </cell>
          <cell r="D1489">
            <v>0</v>
          </cell>
          <cell r="E1489">
            <v>0</v>
          </cell>
          <cell r="F1489">
            <v>0</v>
          </cell>
          <cell r="G1489">
            <v>0</v>
          </cell>
          <cell r="H1489">
            <v>0</v>
          </cell>
          <cell r="I1489">
            <v>0</v>
          </cell>
          <cell r="J1489">
            <v>0</v>
          </cell>
          <cell r="K1489">
            <v>9</v>
          </cell>
          <cell r="L1489">
            <v>0</v>
          </cell>
          <cell r="M1489">
            <v>0</v>
          </cell>
        </row>
        <row r="1490">
          <cell r="C1490">
            <v>0</v>
          </cell>
          <cell r="D1490">
            <v>0</v>
          </cell>
          <cell r="E1490">
            <v>0</v>
          </cell>
          <cell r="F1490">
            <v>0</v>
          </cell>
          <cell r="G1490">
            <v>0</v>
          </cell>
          <cell r="H1490">
            <v>0</v>
          </cell>
          <cell r="I1490">
            <v>0</v>
          </cell>
          <cell r="J1490">
            <v>0</v>
          </cell>
          <cell r="K1490">
            <v>9</v>
          </cell>
          <cell r="L1490">
            <v>0</v>
          </cell>
          <cell r="M1490">
            <v>0</v>
          </cell>
        </row>
        <row r="1491">
          <cell r="C1491">
            <v>0</v>
          </cell>
          <cell r="D1491">
            <v>0</v>
          </cell>
          <cell r="E1491">
            <v>0</v>
          </cell>
          <cell r="F1491">
            <v>0</v>
          </cell>
          <cell r="G1491">
            <v>0</v>
          </cell>
          <cell r="H1491">
            <v>0</v>
          </cell>
          <cell r="I1491">
            <v>0</v>
          </cell>
          <cell r="J1491">
            <v>0</v>
          </cell>
          <cell r="K1491">
            <v>9</v>
          </cell>
          <cell r="L1491">
            <v>0</v>
          </cell>
          <cell r="M1491">
            <v>0</v>
          </cell>
        </row>
        <row r="1492">
          <cell r="C1492">
            <v>0</v>
          </cell>
          <cell r="D1492">
            <v>0</v>
          </cell>
          <cell r="E1492">
            <v>0</v>
          </cell>
          <cell r="F1492">
            <v>0</v>
          </cell>
          <cell r="G1492">
            <v>0</v>
          </cell>
          <cell r="H1492">
            <v>0</v>
          </cell>
          <cell r="I1492">
            <v>0</v>
          </cell>
          <cell r="J1492">
            <v>0</v>
          </cell>
          <cell r="K1492">
            <v>9</v>
          </cell>
          <cell r="L1492">
            <v>0</v>
          </cell>
          <cell r="M1492">
            <v>0</v>
          </cell>
        </row>
        <row r="1493">
          <cell r="C1493">
            <v>0</v>
          </cell>
          <cell r="D1493">
            <v>0</v>
          </cell>
          <cell r="E1493">
            <v>0</v>
          </cell>
          <cell r="F1493">
            <v>0</v>
          </cell>
          <cell r="G1493">
            <v>0</v>
          </cell>
          <cell r="H1493">
            <v>0</v>
          </cell>
          <cell r="I1493">
            <v>0</v>
          </cell>
          <cell r="J1493">
            <v>0</v>
          </cell>
          <cell r="K1493">
            <v>9</v>
          </cell>
          <cell r="L1493">
            <v>0</v>
          </cell>
          <cell r="M1493">
            <v>0</v>
          </cell>
        </row>
        <row r="1494">
          <cell r="C1494">
            <v>0</v>
          </cell>
          <cell r="D1494">
            <v>0</v>
          </cell>
          <cell r="E1494">
            <v>0</v>
          </cell>
          <cell r="F1494">
            <v>0</v>
          </cell>
          <cell r="G1494">
            <v>0</v>
          </cell>
          <cell r="H1494">
            <v>0</v>
          </cell>
          <cell r="I1494">
            <v>0</v>
          </cell>
          <cell r="J1494">
            <v>0</v>
          </cell>
          <cell r="K1494">
            <v>9</v>
          </cell>
          <cell r="L1494">
            <v>0</v>
          </cell>
          <cell r="M1494">
            <v>0</v>
          </cell>
        </row>
        <row r="1495">
          <cell r="C1495">
            <v>0</v>
          </cell>
          <cell r="D1495">
            <v>0</v>
          </cell>
          <cell r="E1495">
            <v>0</v>
          </cell>
          <cell r="F1495">
            <v>0</v>
          </cell>
          <cell r="G1495">
            <v>0</v>
          </cell>
          <cell r="H1495">
            <v>0</v>
          </cell>
          <cell r="I1495">
            <v>0</v>
          </cell>
          <cell r="J1495">
            <v>0</v>
          </cell>
          <cell r="K1495">
            <v>9</v>
          </cell>
          <cell r="L1495">
            <v>0</v>
          </cell>
          <cell r="M1495">
            <v>0</v>
          </cell>
        </row>
        <row r="1496">
          <cell r="C1496">
            <v>0</v>
          </cell>
          <cell r="D1496">
            <v>0</v>
          </cell>
          <cell r="E1496">
            <v>0</v>
          </cell>
          <cell r="F1496">
            <v>0</v>
          </cell>
          <cell r="G1496">
            <v>0</v>
          </cell>
          <cell r="H1496">
            <v>0</v>
          </cell>
          <cell r="I1496">
            <v>0</v>
          </cell>
          <cell r="J1496">
            <v>0</v>
          </cell>
          <cell r="K1496">
            <v>9</v>
          </cell>
          <cell r="L1496">
            <v>0</v>
          </cell>
          <cell r="M1496">
            <v>0</v>
          </cell>
        </row>
        <row r="1497">
          <cell r="C1497">
            <v>0</v>
          </cell>
          <cell r="D1497">
            <v>0</v>
          </cell>
          <cell r="E1497">
            <v>0</v>
          </cell>
          <cell r="F1497">
            <v>0</v>
          </cell>
          <cell r="G1497">
            <v>0</v>
          </cell>
          <cell r="H1497">
            <v>0</v>
          </cell>
          <cell r="I1497">
            <v>0</v>
          </cell>
          <cell r="J1497">
            <v>0</v>
          </cell>
          <cell r="K1497">
            <v>9</v>
          </cell>
          <cell r="L1497">
            <v>0</v>
          </cell>
          <cell r="M1497">
            <v>0</v>
          </cell>
        </row>
        <row r="1498">
          <cell r="C1498">
            <v>0</v>
          </cell>
          <cell r="D1498">
            <v>0</v>
          </cell>
          <cell r="E1498">
            <v>0</v>
          </cell>
          <cell r="F1498">
            <v>0</v>
          </cell>
          <cell r="G1498">
            <v>0</v>
          </cell>
          <cell r="H1498">
            <v>0</v>
          </cell>
          <cell r="I1498">
            <v>0</v>
          </cell>
          <cell r="J1498">
            <v>0</v>
          </cell>
          <cell r="K1498">
            <v>9</v>
          </cell>
          <cell r="L1498">
            <v>0</v>
          </cell>
          <cell r="M1498">
            <v>0</v>
          </cell>
        </row>
        <row r="1499">
          <cell r="C1499">
            <v>0</v>
          </cell>
          <cell r="D1499">
            <v>0</v>
          </cell>
          <cell r="E1499">
            <v>0</v>
          </cell>
          <cell r="F1499">
            <v>0</v>
          </cell>
          <cell r="G1499">
            <v>0</v>
          </cell>
          <cell r="H1499">
            <v>0</v>
          </cell>
          <cell r="I1499">
            <v>0</v>
          </cell>
          <cell r="J1499">
            <v>0</v>
          </cell>
          <cell r="K1499">
            <v>9</v>
          </cell>
          <cell r="L1499">
            <v>0</v>
          </cell>
          <cell r="M1499">
            <v>0</v>
          </cell>
        </row>
        <row r="1500">
          <cell r="C1500">
            <v>0</v>
          </cell>
          <cell r="D1500">
            <v>0</v>
          </cell>
          <cell r="E1500">
            <v>0</v>
          </cell>
          <cell r="F1500">
            <v>0</v>
          </cell>
          <cell r="G1500">
            <v>0</v>
          </cell>
          <cell r="H1500">
            <v>0</v>
          </cell>
          <cell r="I1500">
            <v>0</v>
          </cell>
          <cell r="J1500">
            <v>0</v>
          </cell>
          <cell r="K1500">
            <v>9</v>
          </cell>
          <cell r="L1500">
            <v>0</v>
          </cell>
          <cell r="M1500">
            <v>0</v>
          </cell>
        </row>
        <row r="1501">
          <cell r="C1501">
            <v>0</v>
          </cell>
          <cell r="D1501">
            <v>0</v>
          </cell>
          <cell r="E1501">
            <v>0</v>
          </cell>
          <cell r="F1501">
            <v>0</v>
          </cell>
          <cell r="G1501">
            <v>0</v>
          </cell>
          <cell r="H1501">
            <v>0</v>
          </cell>
          <cell r="I1501">
            <v>0</v>
          </cell>
          <cell r="J1501">
            <v>0</v>
          </cell>
          <cell r="K1501">
            <v>9</v>
          </cell>
          <cell r="L1501">
            <v>0</v>
          </cell>
          <cell r="M1501">
            <v>0</v>
          </cell>
        </row>
      </sheetData>
      <sheetData sheetId="2">
        <row r="1508">
          <cell r="H1508">
            <v>487711.90790000005</v>
          </cell>
        </row>
        <row r="1512">
          <cell r="H1512">
            <v>437427.33410000015</v>
          </cell>
        </row>
        <row r="1513">
          <cell r="H1513">
            <v>-50284.573800000035</v>
          </cell>
        </row>
      </sheetData>
      <sheetData sheetId="3"/>
      <sheetData sheetId="4">
        <row r="1502">
          <cell r="O1502">
            <v>487711.90790000005</v>
          </cell>
          <cell r="P1502">
            <v>0</v>
          </cell>
          <cell r="S1502">
            <v>0</v>
          </cell>
          <cell r="T1502">
            <v>0</v>
          </cell>
          <cell r="V1502">
            <v>487711.90790000005</v>
          </cell>
        </row>
      </sheetData>
      <sheetData sheetId="5"/>
      <sheetData sheetId="6"/>
      <sheetData sheetId="7"/>
      <sheetData sheetId="8"/>
      <sheetData sheetId="9">
        <row r="6">
          <cell r="C6" t="str">
            <v>OBRA</v>
          </cell>
        </row>
        <row r="7">
          <cell r="C7" t="str">
            <v>FUNDAÇÃO</v>
          </cell>
        </row>
        <row r="8">
          <cell r="C8" t="str">
            <v>ESTRUTURA</v>
          </cell>
        </row>
        <row r="9">
          <cell r="C9" t="str">
            <v>ALVENARIA</v>
          </cell>
        </row>
        <row r="10">
          <cell r="C10" t="str">
            <v>COBERTURA</v>
          </cell>
        </row>
        <row r="11">
          <cell r="C11" t="str">
            <v>WC MASCULINO</v>
          </cell>
        </row>
        <row r="12">
          <cell r="C12" t="str">
            <v>WC FEMININO</v>
          </cell>
        </row>
        <row r="13">
          <cell r="C13" t="str">
            <v>CAIXA DÁGUA</v>
          </cell>
        </row>
        <row r="14">
          <cell r="C14" t="str">
            <v>QUADRA</v>
          </cell>
        </row>
        <row r="15">
          <cell r="C15" t="str">
            <v>DEPÓSITO</v>
          </cell>
        </row>
        <row r="16">
          <cell r="C16" t="str">
            <v>PASSEIO</v>
          </cell>
        </row>
        <row r="17">
          <cell r="C17" t="str">
            <v>BEBEDOURO</v>
          </cell>
        </row>
        <row r="18">
          <cell r="C18" t="str">
            <v>WC MAS. DEFICIÊNTE</v>
          </cell>
        </row>
        <row r="19">
          <cell r="C19" t="str">
            <v>WC FEM. DEFICIÊNTE</v>
          </cell>
        </row>
        <row r="20">
          <cell r="C20" t="str">
            <v>QUADRO DISJUNTORES</v>
          </cell>
        </row>
        <row r="21">
          <cell r="C21" t="str">
            <v>QUADRO GERAL DISJUNTORES</v>
          </cell>
        </row>
        <row r="22">
          <cell r="C22" t="str">
            <v>PILAR</v>
          </cell>
        </row>
        <row r="23">
          <cell r="C23" t="str">
            <v>FOSSA</v>
          </cell>
        </row>
        <row r="24">
          <cell r="C24" t="str">
            <v>SUMIDOURO</v>
          </cell>
        </row>
        <row r="25">
          <cell r="C25" t="str">
            <v>HIDROSANITARIO</v>
          </cell>
        </row>
        <row r="26">
          <cell r="C26" t="str">
            <v>BANHEIROS</v>
          </cell>
        </row>
        <row r="27">
          <cell r="C27" t="str">
            <v>HIDRAULICO</v>
          </cell>
        </row>
        <row r="28">
          <cell r="C28" t="str">
            <v>BARRILHETE</v>
          </cell>
        </row>
        <row r="29">
          <cell r="C29" t="str">
            <v>SANITÁRIO</v>
          </cell>
        </row>
        <row r="30">
          <cell r="C30" t="str">
            <v>LAJE</v>
          </cell>
        </row>
        <row r="31">
          <cell r="C31">
            <v>0</v>
          </cell>
        </row>
        <row r="32">
          <cell r="C32">
            <v>0</v>
          </cell>
        </row>
        <row r="33">
          <cell r="C33">
            <v>0</v>
          </cell>
        </row>
        <row r="34">
          <cell r="C34">
            <v>0</v>
          </cell>
        </row>
        <row r="35">
          <cell r="C35">
            <v>0</v>
          </cell>
        </row>
        <row r="36">
          <cell r="C36">
            <v>0</v>
          </cell>
        </row>
        <row r="37">
          <cell r="C37">
            <v>0</v>
          </cell>
        </row>
        <row r="38">
          <cell r="C38">
            <v>0</v>
          </cell>
        </row>
        <row r="39">
          <cell r="C39">
            <v>0</v>
          </cell>
        </row>
        <row r="40">
          <cell r="C40">
            <v>0</v>
          </cell>
        </row>
        <row r="41">
          <cell r="C41">
            <v>0</v>
          </cell>
        </row>
        <row r="42">
          <cell r="C42">
            <v>0</v>
          </cell>
        </row>
        <row r="43">
          <cell r="C43">
            <v>0</v>
          </cell>
        </row>
        <row r="44">
          <cell r="C44">
            <v>0</v>
          </cell>
        </row>
        <row r="45">
          <cell r="C45">
            <v>0</v>
          </cell>
        </row>
        <row r="46">
          <cell r="C46">
            <v>0</v>
          </cell>
        </row>
      </sheetData>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ÁLISE"/>
      <sheetName val="COMPOSIÇÕES"/>
      <sheetName val="PESQUISA MERCADOLOGICA"/>
      <sheetName val="BABSIN"/>
      <sheetName val="BASE"/>
      <sheetName val="AUX"/>
      <sheetName val="BASE2013"/>
      <sheetName val="Plan1"/>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DOS"/>
      <sheetName val="BASE PLANILHA"/>
      <sheetName val="PLANILHA MEDIÇÃO"/>
      <sheetName val="MEMORIA CALCULO"/>
      <sheetName val="SINAPI2014"/>
      <sheetName val="ANÁLISE PREÇO"/>
      <sheetName val="AUX"/>
      <sheetName val="COMPOSIÇÃO"/>
      <sheetName val="BASE2013"/>
    </sheetNames>
    <sheetDataSet>
      <sheetData sheetId="0">
        <row r="7">
          <cell r="D7" t="str">
            <v>CONSTRUÇÃO DE ESCOLA PADRÃO DE 10 SALAS DE AULA - PADRÃO ALVORADA - GALINHOS</v>
          </cell>
        </row>
      </sheetData>
      <sheetData sheetId="1"/>
      <sheetData sheetId="2"/>
      <sheetData sheetId="3"/>
      <sheetData sheetId="4">
        <row r="1">
          <cell r="B1" t="str">
            <v>DESMATAMENTO MANUAL TERRENO COM VEGETAÇÃO RASTEIRA</v>
          </cell>
        </row>
      </sheetData>
      <sheetData sheetId="5"/>
      <sheetData sheetId="6">
        <row r="19">
          <cell r="A19" t="e">
            <v>#REF!</v>
          </cell>
        </row>
      </sheetData>
      <sheetData sheetId="7"/>
      <sheetData sheetId="8">
        <row r="1">
          <cell r="B1" t="str">
            <v>DESMATAMENTO MANUAL TERRENO COM VEGETAÇÃO RASTEIRA</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çamento"/>
      <sheetName val="Composições"/>
      <sheetName val="Cronograma"/>
      <sheetName val="Gabarito"/>
      <sheetName val="Formulário"/>
      <sheetName val="Relação de preço SIN"/>
    </sheetNames>
    <sheetDataSet>
      <sheetData sheetId="0">
        <row r="1">
          <cell r="A1">
            <v>0</v>
          </cell>
          <cell r="B1">
            <v>0</v>
          </cell>
          <cell r="C1">
            <v>0</v>
          </cell>
          <cell r="D1">
            <v>0</v>
          </cell>
          <cell r="E1">
            <v>0</v>
          </cell>
          <cell r="F1">
            <v>0</v>
          </cell>
          <cell r="G1">
            <v>0</v>
          </cell>
          <cell r="H1">
            <v>0</v>
          </cell>
        </row>
        <row r="2">
          <cell r="A2">
            <v>0</v>
          </cell>
          <cell r="B2">
            <v>0</v>
          </cell>
          <cell r="C2">
            <v>0</v>
          </cell>
          <cell r="D2">
            <v>0</v>
          </cell>
          <cell r="E2">
            <v>0</v>
          </cell>
          <cell r="F2">
            <v>0</v>
          </cell>
          <cell r="G2">
            <v>0</v>
          </cell>
          <cell r="H2">
            <v>0</v>
          </cell>
        </row>
        <row r="3">
          <cell r="A3">
            <v>0</v>
          </cell>
          <cell r="B3">
            <v>0</v>
          </cell>
          <cell r="C3">
            <v>0</v>
          </cell>
          <cell r="D3">
            <v>0</v>
          </cell>
          <cell r="E3">
            <v>0</v>
          </cell>
          <cell r="F3">
            <v>0</v>
          </cell>
          <cell r="G3">
            <v>0</v>
          </cell>
          <cell r="H3">
            <v>0</v>
          </cell>
        </row>
        <row r="4">
          <cell r="A4" t="str">
            <v>Governo do Estado do Rio Grande do Norte</v>
          </cell>
          <cell r="B4">
            <v>0</v>
          </cell>
          <cell r="C4">
            <v>0</v>
          </cell>
          <cell r="D4">
            <v>0</v>
          </cell>
          <cell r="E4">
            <v>0</v>
          </cell>
          <cell r="F4">
            <v>0</v>
          </cell>
          <cell r="G4">
            <v>0</v>
          </cell>
          <cell r="H4">
            <v>0</v>
          </cell>
        </row>
        <row r="5">
          <cell r="A5" t="str">
            <v>Secretaria de Estado da Infraestrutura</v>
          </cell>
          <cell r="B5">
            <v>0</v>
          </cell>
          <cell r="C5">
            <v>0</v>
          </cell>
          <cell r="D5">
            <v>0</v>
          </cell>
          <cell r="E5">
            <v>0</v>
          </cell>
          <cell r="F5">
            <v>0</v>
          </cell>
          <cell r="G5">
            <v>0</v>
          </cell>
          <cell r="H5">
            <v>0</v>
          </cell>
        </row>
        <row r="6">
          <cell r="A6" t="str">
            <v>Coordenador de Obras e Serviços de Engenharia - COS Subcoordenadoria de Orçamento</v>
          </cell>
          <cell r="B6">
            <v>0</v>
          </cell>
          <cell r="C6">
            <v>0</v>
          </cell>
          <cell r="D6">
            <v>0</v>
          </cell>
          <cell r="E6">
            <v>0</v>
          </cell>
          <cell r="F6">
            <v>0</v>
          </cell>
          <cell r="G6">
            <v>0</v>
          </cell>
          <cell r="H6">
            <v>0</v>
          </cell>
        </row>
        <row r="7">
          <cell r="A7" t="str">
            <v>RECURSO FEDERAL</v>
          </cell>
          <cell r="B7">
            <v>0</v>
          </cell>
          <cell r="C7">
            <v>0</v>
          </cell>
          <cell r="D7">
            <v>0</v>
          </cell>
          <cell r="E7">
            <v>0</v>
          </cell>
          <cell r="F7">
            <v>0</v>
          </cell>
          <cell r="G7">
            <v>0</v>
          </cell>
          <cell r="H7">
            <v>0</v>
          </cell>
        </row>
        <row r="8">
          <cell r="A8">
            <v>0</v>
          </cell>
          <cell r="B8">
            <v>0</v>
          </cell>
          <cell r="C8">
            <v>0</v>
          </cell>
          <cell r="D8">
            <v>0</v>
          </cell>
          <cell r="E8">
            <v>0</v>
          </cell>
          <cell r="F8">
            <v>0</v>
          </cell>
          <cell r="G8">
            <v>0</v>
          </cell>
          <cell r="H8">
            <v>0</v>
          </cell>
        </row>
        <row r="9">
          <cell r="A9" t="str">
            <v>OBRA:</v>
          </cell>
          <cell r="B9" t="str">
            <v>Construção Modelo</v>
          </cell>
          <cell r="C9">
            <v>0</v>
          </cell>
          <cell r="D9">
            <v>0</v>
          </cell>
          <cell r="E9" t="str">
            <v>ÁREA</v>
          </cell>
          <cell r="F9">
            <v>0</v>
          </cell>
          <cell r="G9" t="str">
            <v>BDI</v>
          </cell>
          <cell r="H9" t="str">
            <v>DATA</v>
          </cell>
        </row>
        <row r="10">
          <cell r="A10" t="str">
            <v>LOCAL:</v>
          </cell>
          <cell r="B10" t="str">
            <v>Natal</v>
          </cell>
          <cell r="C10">
            <v>0</v>
          </cell>
          <cell r="D10">
            <v>0</v>
          </cell>
          <cell r="E10">
            <v>0</v>
          </cell>
          <cell r="F10">
            <v>0</v>
          </cell>
          <cell r="G10">
            <v>0.3</v>
          </cell>
          <cell r="H10">
            <v>40940</v>
          </cell>
        </row>
        <row r="11">
          <cell r="A11">
            <v>0</v>
          </cell>
          <cell r="B11">
            <v>0</v>
          </cell>
          <cell r="C11">
            <v>0</v>
          </cell>
          <cell r="D11">
            <v>0</v>
          </cell>
          <cell r="E11">
            <v>0</v>
          </cell>
          <cell r="F11">
            <v>0</v>
          </cell>
          <cell r="G11">
            <v>0</v>
          </cell>
          <cell r="H11">
            <v>0</v>
          </cell>
        </row>
        <row r="12">
          <cell r="A12" t="str">
            <v>ITEM</v>
          </cell>
          <cell r="B12" t="str">
            <v>CÓDIGO SINAPI</v>
          </cell>
          <cell r="C12" t="str">
            <v>DESCRIÇÃO</v>
          </cell>
          <cell r="D12" t="str">
            <v>UNID</v>
          </cell>
          <cell r="E12" t="str">
            <v>QUANT.</v>
          </cell>
          <cell r="F12" t="str">
            <v>UNITÁRIO sem BDI</v>
          </cell>
          <cell r="G12" t="str">
            <v>UNITÁRIO C/ BDI</v>
          </cell>
          <cell r="H12" t="str">
            <v>PARCIAL</v>
          </cell>
        </row>
        <row r="13">
          <cell r="A13">
            <v>0</v>
          </cell>
          <cell r="B13">
            <v>0</v>
          </cell>
          <cell r="C13">
            <v>0</v>
          </cell>
          <cell r="D13">
            <v>0</v>
          </cell>
          <cell r="E13">
            <v>0</v>
          </cell>
          <cell r="F13">
            <v>0</v>
          </cell>
          <cell r="G13">
            <v>0</v>
          </cell>
          <cell r="H13">
            <v>0</v>
          </cell>
        </row>
        <row r="14">
          <cell r="A14" t="str">
            <v>01</v>
          </cell>
          <cell r="B14">
            <v>0</v>
          </cell>
          <cell r="C14" t="str">
            <v>SERVIÇOS PRELIMINARES</v>
          </cell>
          <cell r="D14">
            <v>0</v>
          </cell>
          <cell r="E14" t="str">
            <v>*</v>
          </cell>
          <cell r="F14">
            <v>0</v>
          </cell>
          <cell r="G14">
            <v>0</v>
          </cell>
          <cell r="H14">
            <v>1.3</v>
          </cell>
        </row>
        <row r="15">
          <cell r="A15" t="str">
            <v>1.1</v>
          </cell>
          <cell r="B15">
            <v>0</v>
          </cell>
          <cell r="C15">
            <v>0</v>
          </cell>
          <cell r="D15" t="str">
            <v>M</v>
          </cell>
          <cell r="E15">
            <v>1</v>
          </cell>
          <cell r="F15">
            <v>1</v>
          </cell>
          <cell r="G15">
            <v>1.3</v>
          </cell>
          <cell r="H15">
            <v>1.3</v>
          </cell>
        </row>
        <row r="16">
          <cell r="A16" t="str">
            <v>02</v>
          </cell>
          <cell r="B16">
            <v>0</v>
          </cell>
          <cell r="C16" t="str">
            <v>TRABALHOS EM TERRA</v>
          </cell>
          <cell r="D16">
            <v>0</v>
          </cell>
          <cell r="E16" t="str">
            <v>*</v>
          </cell>
          <cell r="F16">
            <v>0</v>
          </cell>
          <cell r="G16">
            <v>0</v>
          </cell>
          <cell r="H16">
            <v>1.3</v>
          </cell>
        </row>
        <row r="17">
          <cell r="A17">
            <v>0</v>
          </cell>
          <cell r="B17">
            <v>0</v>
          </cell>
          <cell r="C17">
            <v>0</v>
          </cell>
          <cell r="D17">
            <v>0</v>
          </cell>
          <cell r="E17">
            <v>1</v>
          </cell>
          <cell r="F17">
            <v>1</v>
          </cell>
          <cell r="G17">
            <v>1.3</v>
          </cell>
          <cell r="H17">
            <v>1.3</v>
          </cell>
        </row>
        <row r="18">
          <cell r="A18" t="str">
            <v>03</v>
          </cell>
          <cell r="B18">
            <v>0</v>
          </cell>
          <cell r="C18" t="str">
            <v>ESTRUTURAS</v>
          </cell>
          <cell r="D18">
            <v>0</v>
          </cell>
          <cell r="E18" t="str">
            <v>*</v>
          </cell>
          <cell r="F18">
            <v>0</v>
          </cell>
          <cell r="G18">
            <v>0</v>
          </cell>
          <cell r="H18">
            <v>1.3</v>
          </cell>
        </row>
        <row r="19">
          <cell r="A19">
            <v>0</v>
          </cell>
          <cell r="B19">
            <v>0</v>
          </cell>
          <cell r="C19">
            <v>0</v>
          </cell>
          <cell r="D19">
            <v>0</v>
          </cell>
          <cell r="E19">
            <v>1</v>
          </cell>
          <cell r="F19">
            <v>1</v>
          </cell>
          <cell r="G19">
            <v>1.3</v>
          </cell>
          <cell r="H19">
            <v>1.3</v>
          </cell>
        </row>
        <row r="20">
          <cell r="A20" t="str">
            <v>04</v>
          </cell>
          <cell r="B20">
            <v>0</v>
          </cell>
          <cell r="C20" t="str">
            <v>ALVENARIAS</v>
          </cell>
          <cell r="D20">
            <v>0</v>
          </cell>
          <cell r="E20" t="str">
            <v>*</v>
          </cell>
          <cell r="F20">
            <v>0</v>
          </cell>
          <cell r="G20">
            <v>0</v>
          </cell>
          <cell r="H20">
            <v>1.3</v>
          </cell>
        </row>
        <row r="21">
          <cell r="A21">
            <v>0</v>
          </cell>
          <cell r="B21">
            <v>0</v>
          </cell>
          <cell r="C21">
            <v>0</v>
          </cell>
          <cell r="D21">
            <v>0</v>
          </cell>
          <cell r="E21">
            <v>1</v>
          </cell>
          <cell r="F21">
            <v>1</v>
          </cell>
          <cell r="G21">
            <v>1.3</v>
          </cell>
          <cell r="H21">
            <v>1.3</v>
          </cell>
        </row>
        <row r="22">
          <cell r="A22" t="str">
            <v>05</v>
          </cell>
          <cell r="B22">
            <v>0</v>
          </cell>
          <cell r="C22" t="str">
            <v>INSTALAÇÕES ELÉTRICAS</v>
          </cell>
          <cell r="D22">
            <v>0</v>
          </cell>
          <cell r="E22" t="str">
            <v>*</v>
          </cell>
          <cell r="F22">
            <v>0</v>
          </cell>
          <cell r="G22">
            <v>0</v>
          </cell>
          <cell r="H22">
            <v>1.3</v>
          </cell>
        </row>
        <row r="23">
          <cell r="A23">
            <v>0</v>
          </cell>
          <cell r="B23">
            <v>0</v>
          </cell>
          <cell r="C23">
            <v>0</v>
          </cell>
          <cell r="D23">
            <v>0</v>
          </cell>
          <cell r="E23">
            <v>1</v>
          </cell>
          <cell r="F23">
            <v>1</v>
          </cell>
          <cell r="G23">
            <v>1.3</v>
          </cell>
          <cell r="H23">
            <v>1.3</v>
          </cell>
        </row>
        <row r="24">
          <cell r="A24" t="str">
            <v>06</v>
          </cell>
          <cell r="B24">
            <v>0</v>
          </cell>
          <cell r="C24" t="str">
            <v xml:space="preserve">ADMINISTRAÇÃO LOCAL </v>
          </cell>
          <cell r="D24">
            <v>0</v>
          </cell>
          <cell r="E24" t="str">
            <v>*</v>
          </cell>
          <cell r="F24">
            <v>0</v>
          </cell>
          <cell r="G24">
            <v>0</v>
          </cell>
          <cell r="H24">
            <v>0.2</v>
          </cell>
        </row>
        <row r="25">
          <cell r="A25">
            <v>0</v>
          </cell>
          <cell r="B25">
            <v>0</v>
          </cell>
          <cell r="C25">
            <v>0</v>
          </cell>
          <cell r="D25">
            <v>0</v>
          </cell>
          <cell r="E25">
            <v>4</v>
          </cell>
          <cell r="F25">
            <v>0.04</v>
          </cell>
          <cell r="G25">
            <v>0.05</v>
          </cell>
          <cell r="H25">
            <v>0.2</v>
          </cell>
        </row>
        <row r="26">
          <cell r="A26">
            <v>0</v>
          </cell>
          <cell r="B26">
            <v>0</v>
          </cell>
          <cell r="C26">
            <v>0</v>
          </cell>
          <cell r="D26">
            <v>0</v>
          </cell>
          <cell r="E26">
            <v>0</v>
          </cell>
          <cell r="F26">
            <v>0</v>
          </cell>
          <cell r="G26">
            <v>0</v>
          </cell>
          <cell r="H26">
            <v>0</v>
          </cell>
        </row>
        <row r="27">
          <cell r="A27" t="str">
            <v>TOTAL DO ORÇAMENTO SEM ADMINISTRAÇÃO E SEM BDI</v>
          </cell>
          <cell r="B27">
            <v>0</v>
          </cell>
          <cell r="C27">
            <v>0</v>
          </cell>
          <cell r="D27">
            <v>0</v>
          </cell>
          <cell r="E27">
            <v>0</v>
          </cell>
          <cell r="F27">
            <v>0</v>
          </cell>
          <cell r="G27">
            <v>5</v>
          </cell>
          <cell r="H27">
            <v>0</v>
          </cell>
        </row>
        <row r="28">
          <cell r="A28" t="str">
            <v>TOTAL DO ORÇAMENTO</v>
          </cell>
          <cell r="B28">
            <v>0</v>
          </cell>
          <cell r="C28">
            <v>0</v>
          </cell>
          <cell r="D28">
            <v>0</v>
          </cell>
          <cell r="E28">
            <v>0</v>
          </cell>
          <cell r="F28">
            <v>0</v>
          </cell>
          <cell r="G28">
            <v>6.7</v>
          </cell>
          <cell r="H28">
            <v>0</v>
          </cell>
        </row>
        <row r="29">
          <cell r="A29">
            <v>0</v>
          </cell>
          <cell r="B29">
            <v>0</v>
          </cell>
          <cell r="C29">
            <v>0</v>
          </cell>
          <cell r="D29">
            <v>0</v>
          </cell>
          <cell r="E29">
            <v>0</v>
          </cell>
          <cell r="F29">
            <v>0</v>
          </cell>
          <cell r="G29">
            <v>0</v>
          </cell>
          <cell r="H29">
            <v>0</v>
          </cell>
        </row>
        <row r="30">
          <cell r="A30">
            <v>0</v>
          </cell>
          <cell r="B30">
            <v>0</v>
          </cell>
          <cell r="C30">
            <v>0</v>
          </cell>
          <cell r="D30" t="str">
            <v>Orçamento:</v>
          </cell>
          <cell r="E30">
            <v>0</v>
          </cell>
          <cell r="F30">
            <v>0</v>
          </cell>
          <cell r="G30">
            <v>0</v>
          </cell>
          <cell r="H30">
            <v>0</v>
          </cell>
        </row>
        <row r="31">
          <cell r="A31" t="str">
            <v>seis reais e setenta centavos</v>
          </cell>
          <cell r="B31">
            <v>0</v>
          </cell>
          <cell r="C31">
            <v>0</v>
          </cell>
          <cell r="D31">
            <v>0</v>
          </cell>
          <cell r="E31">
            <v>0</v>
          </cell>
          <cell r="F31">
            <v>0</v>
          </cell>
          <cell r="G31">
            <v>0</v>
          </cell>
          <cell r="H31">
            <v>0</v>
          </cell>
        </row>
        <row r="32">
          <cell r="A32">
            <v>0</v>
          </cell>
          <cell r="B32">
            <v>0</v>
          </cell>
          <cell r="C32">
            <v>0</v>
          </cell>
          <cell r="D32" t="str">
            <v>___________________________________________</v>
          </cell>
          <cell r="E32">
            <v>0</v>
          </cell>
          <cell r="F32">
            <v>0</v>
          </cell>
          <cell r="G32">
            <v>0</v>
          </cell>
          <cell r="H32">
            <v>0</v>
          </cell>
        </row>
        <row r="33">
          <cell r="A33">
            <v>0</v>
          </cell>
          <cell r="B33">
            <v>0</v>
          </cell>
          <cell r="C33">
            <v>0</v>
          </cell>
          <cell r="D33">
            <v>0</v>
          </cell>
          <cell r="E33">
            <v>0</v>
          </cell>
          <cell r="F33">
            <v>0</v>
          </cell>
          <cell r="G33">
            <v>0</v>
          </cell>
          <cell r="H33">
            <v>0</v>
          </cell>
        </row>
        <row r="34">
          <cell r="A34">
            <v>0</v>
          </cell>
          <cell r="B34">
            <v>0</v>
          </cell>
          <cell r="C34">
            <v>0</v>
          </cell>
          <cell r="D34">
            <v>0</v>
          </cell>
          <cell r="E34">
            <v>0</v>
          </cell>
          <cell r="F34">
            <v>0</v>
          </cell>
          <cell r="G34">
            <v>0</v>
          </cell>
          <cell r="H34">
            <v>0</v>
          </cell>
        </row>
        <row r="35">
          <cell r="A35" t="str">
            <v>Obs: O orçamento está de acordo com a tabela SINAPI Outubro 2011</v>
          </cell>
          <cell r="B35">
            <v>0</v>
          </cell>
          <cell r="C35">
            <v>0</v>
          </cell>
          <cell r="D35">
            <v>0</v>
          </cell>
          <cell r="E35">
            <v>0</v>
          </cell>
          <cell r="F35">
            <v>0</v>
          </cell>
          <cell r="G35">
            <v>0</v>
          </cell>
          <cell r="H35">
            <v>0</v>
          </cell>
        </row>
      </sheetData>
      <sheetData sheetId="1"/>
      <sheetData sheetId="2"/>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ÇA. ANÁLISE"/>
      <sheetName val="COMP. SIN"/>
      <sheetName val="ORÇA. MOSSORÓ"/>
      <sheetName val="COMP. MOSSORÓ"/>
      <sheetName val="Relação SIN"/>
      <sheetName val="Plan1"/>
      <sheetName val="Composições"/>
      <sheetName val="planilhanull (2)"/>
      <sheetName val="INSUMO DESONERADO 16"/>
      <sheetName val="SERVIÇOS MAIO 16"/>
    </sheetNames>
    <sheetDataSet>
      <sheetData sheetId="0">
        <row r="9">
          <cell r="A9" t="str">
            <v xml:space="preserve">01              </v>
          </cell>
          <cell r="B9">
            <v>0</v>
          </cell>
          <cell r="C9" t="str">
            <v>SERVIÇOS PRELIMINARES</v>
          </cell>
          <cell r="D9">
            <v>0</v>
          </cell>
          <cell r="E9">
            <v>0</v>
          </cell>
          <cell r="F9">
            <v>0</v>
          </cell>
          <cell r="G9">
            <v>100352.69999999998</v>
          </cell>
        </row>
        <row r="10">
          <cell r="A10" t="str">
            <v>01.1</v>
          </cell>
          <cell r="B10">
            <v>10019</v>
          </cell>
          <cell r="C10" t="str">
            <v>REGULARIZAÇÃO  DE  OBRA   (CREA,    ALVARÁ,     BOMBEIRO)</v>
          </cell>
          <cell r="D10" t="str">
            <v xml:space="preserve">m2    </v>
          </cell>
          <cell r="E10">
            <v>2423.6999999999998</v>
          </cell>
          <cell r="F10">
            <v>4.9400000000000004</v>
          </cell>
          <cell r="G10">
            <v>11973.08</v>
          </cell>
        </row>
        <row r="11">
          <cell r="A11" t="str">
            <v>01.2</v>
          </cell>
          <cell r="B11">
            <v>10008</v>
          </cell>
          <cell r="C11" t="str">
            <v>DESMATAMENTO LIMPEZA MECÂNICA DE TERRENO</v>
          </cell>
          <cell r="D11" t="str">
            <v xml:space="preserve">m2    </v>
          </cell>
          <cell r="E11">
            <v>45245</v>
          </cell>
          <cell r="F11">
            <v>0.17</v>
          </cell>
          <cell r="G11">
            <v>7691.65</v>
          </cell>
        </row>
        <row r="12">
          <cell r="A12" t="str">
            <v>01.3</v>
          </cell>
          <cell r="B12">
            <v>10004</v>
          </cell>
          <cell r="C12" t="str">
            <v xml:space="preserve">LOCAÇÃO DA OBRA (GABARITO)                       </v>
          </cell>
          <cell r="D12" t="str">
            <v xml:space="preserve">m2    </v>
          </cell>
          <cell r="E12">
            <v>150</v>
          </cell>
          <cell r="F12">
            <v>4.47</v>
          </cell>
          <cell r="G12">
            <v>670.5</v>
          </cell>
        </row>
        <row r="13">
          <cell r="A13" t="str">
            <v>01.4</v>
          </cell>
          <cell r="B13">
            <v>10012</v>
          </cell>
          <cell r="C13" t="str">
            <v>LOCAÇÃO CORRIDA DE PRAÇAS E ARRUAMENTOS</v>
          </cell>
          <cell r="D13" t="str">
            <v xml:space="preserve">m     </v>
          </cell>
          <cell r="E13">
            <v>10576</v>
          </cell>
          <cell r="F13">
            <v>0.94</v>
          </cell>
          <cell r="G13">
            <v>9941.44</v>
          </cell>
        </row>
        <row r="14">
          <cell r="A14" t="str">
            <v>01.5</v>
          </cell>
          <cell r="B14">
            <v>10018</v>
          </cell>
          <cell r="C14" t="str">
            <v>PLACA DE IDENTIFICAÇÃO DA OBRA EM  CHAPA GALVANIZADA,     INCLUSIVE     COLOCAÇÃO</v>
          </cell>
          <cell r="D14" t="str">
            <v xml:space="preserve">m2    </v>
          </cell>
          <cell r="E14">
            <v>24</v>
          </cell>
          <cell r="F14">
            <v>149.41</v>
          </cell>
          <cell r="G14">
            <v>3585.84</v>
          </cell>
        </row>
        <row r="15">
          <cell r="A15" t="str">
            <v>01.6</v>
          </cell>
          <cell r="B15">
            <v>10039</v>
          </cell>
          <cell r="C15" t="str">
            <v>TAPUME  DE  ESTRUTURA  DE  MADEIRA   COM FECHAMENTO    EM    CHAPA     COMPENSADA RESINADA,  ESP.=  10mm,  COM  PORTÃO   E FERRAGENS, INCLUSIVE PINTURA  PVA  LATEX EXTERIOR 02 DEMÃOS</v>
          </cell>
          <cell r="D15" t="str">
            <v xml:space="preserve">m2    </v>
          </cell>
          <cell r="E15">
            <v>631.4</v>
          </cell>
          <cell r="F15">
            <v>47.01</v>
          </cell>
          <cell r="G15">
            <v>29682.11</v>
          </cell>
        </row>
        <row r="16">
          <cell r="A16" t="str">
            <v>01.7</v>
          </cell>
          <cell r="B16">
            <v>10005</v>
          </cell>
          <cell r="C16" t="str">
            <v>LEVANTAMENTO  GEOTÉCNICO   INVESTIGATIVO TIPO SPT INC.  RELATÓRIO  TÉCNICO  CONF. TERMO   DE   REFERÊNCIA   E   NBR   6484</v>
          </cell>
          <cell r="D16" t="str">
            <v xml:space="preserve">un    </v>
          </cell>
          <cell r="E16">
            <v>8</v>
          </cell>
          <cell r="F16">
            <v>1806.4</v>
          </cell>
          <cell r="G16">
            <v>14451.2</v>
          </cell>
        </row>
        <row r="17">
          <cell r="A17" t="str">
            <v>01.8</v>
          </cell>
          <cell r="B17">
            <v>5</v>
          </cell>
          <cell r="C17" t="str">
            <v xml:space="preserve">PROJETO ESTRUTURAL </v>
          </cell>
          <cell r="D17" t="str">
            <v xml:space="preserve">m2    </v>
          </cell>
          <cell r="E17">
            <v>509.73</v>
          </cell>
          <cell r="F17">
            <v>9.44</v>
          </cell>
          <cell r="G17">
            <v>4811.8500000000004</v>
          </cell>
        </row>
        <row r="18">
          <cell r="A18" t="str">
            <v>01.9</v>
          </cell>
          <cell r="B18">
            <v>7</v>
          </cell>
          <cell r="C18" t="str">
            <v xml:space="preserve">PROJETO DE INSTALAÇÕES ELÉTRICAS EM EDIFICAÇÕES </v>
          </cell>
          <cell r="D18" t="str">
            <v xml:space="preserve">m2    </v>
          </cell>
          <cell r="E18">
            <v>1256</v>
          </cell>
          <cell r="F18">
            <v>4.72</v>
          </cell>
          <cell r="G18">
            <v>5928.32</v>
          </cell>
        </row>
        <row r="19">
          <cell r="A19" t="str">
            <v>01.10</v>
          </cell>
          <cell r="B19">
            <v>12</v>
          </cell>
          <cell r="C19" t="str">
            <v xml:space="preserve">PROJETO DE INSTALAÇÕES HIDRÁULICAS EM EDIFICAÇÕES </v>
          </cell>
          <cell r="D19" t="str">
            <v xml:space="preserve">m2    </v>
          </cell>
          <cell r="E19">
            <v>224.1</v>
          </cell>
          <cell r="F19">
            <v>4.25</v>
          </cell>
          <cell r="G19">
            <v>952.43</v>
          </cell>
        </row>
        <row r="20">
          <cell r="A20" t="str">
            <v>01.11</v>
          </cell>
          <cell r="B20">
            <v>15</v>
          </cell>
          <cell r="C20" t="str">
            <v>PROJETO  DE COMBATE A INCÊNDIO</v>
          </cell>
          <cell r="D20" t="str">
            <v xml:space="preserve">m2    </v>
          </cell>
          <cell r="E20">
            <v>6059.25</v>
          </cell>
          <cell r="F20">
            <v>1.76</v>
          </cell>
          <cell r="G20">
            <v>10664.28</v>
          </cell>
        </row>
        <row r="21">
          <cell r="A21" t="str">
            <v>01.12</v>
          </cell>
          <cell r="B21">
            <v>0</v>
          </cell>
          <cell r="C21" t="str">
            <v>ADMINISTRAÇÃO LOCAL: PESSOAL, ALIMENTAÇÃO, FARDAMENTO E MATERIAL DE SEGURANÇA</v>
          </cell>
          <cell r="D21" t="str">
            <v>mêS</v>
          </cell>
          <cell r="E21">
            <v>12</v>
          </cell>
          <cell r="F21">
            <v>0</v>
          </cell>
          <cell r="G21">
            <v>0</v>
          </cell>
        </row>
        <row r="22">
          <cell r="A22" t="str">
            <v>02</v>
          </cell>
          <cell r="B22">
            <v>0</v>
          </cell>
          <cell r="C22" t="str">
            <v>DEMOLIÇÕES E RETIRADAS</v>
          </cell>
          <cell r="D22">
            <v>0</v>
          </cell>
          <cell r="E22">
            <v>0</v>
          </cell>
          <cell r="F22">
            <v>0</v>
          </cell>
          <cell r="G22">
            <v>132059.93</v>
          </cell>
        </row>
        <row r="23">
          <cell r="A23" t="str">
            <v>02.1</v>
          </cell>
          <cell r="B23">
            <v>200001</v>
          </cell>
          <cell r="C23" t="str">
            <v>DEMOLIÇÃO  DE   ALVENARIA   DE   TIJOLOS CERAMICOS      SEM      REAPROVEITAMENTO</v>
          </cell>
          <cell r="D23" t="str">
            <v xml:space="preserve">m3    </v>
          </cell>
          <cell r="E23">
            <v>194.61</v>
          </cell>
          <cell r="F23">
            <v>21.74</v>
          </cell>
          <cell r="G23">
            <v>4230.82</v>
          </cell>
        </row>
        <row r="24">
          <cell r="A24" t="str">
            <v>02.2</v>
          </cell>
          <cell r="B24">
            <v>200011</v>
          </cell>
          <cell r="C24" t="str">
            <v xml:space="preserve">DEMOLIÇÃO DE ELEMENTO VAZADO               </v>
          </cell>
          <cell r="D24" t="str">
            <v xml:space="preserve">m2    </v>
          </cell>
          <cell r="E24">
            <v>349.17</v>
          </cell>
          <cell r="F24">
            <v>12.11</v>
          </cell>
          <cell r="G24">
            <v>4228.45</v>
          </cell>
        </row>
        <row r="25">
          <cell r="A25" t="str">
            <v>02.3</v>
          </cell>
          <cell r="B25">
            <v>200002</v>
          </cell>
          <cell r="C25" t="str">
            <v>DEMOLIÇÃO    DE     REVESTIMENTO     COM AZULEJOS,        INCLUSIVE        EMBOÇO</v>
          </cell>
          <cell r="D25" t="str">
            <v xml:space="preserve">m2    </v>
          </cell>
          <cell r="E25">
            <v>613.95000000000005</v>
          </cell>
          <cell r="F25">
            <v>18.13</v>
          </cell>
          <cell r="G25">
            <v>11130.91</v>
          </cell>
        </row>
        <row r="26">
          <cell r="A26" t="str">
            <v>02.4</v>
          </cell>
          <cell r="B26">
            <v>200016</v>
          </cell>
          <cell r="C26" t="str">
            <v xml:space="preserve">DEMOLIÇÃO DE REVESTIMENTO COM ARGAMASSA             </v>
          </cell>
          <cell r="D26" t="str">
            <v xml:space="preserve">m2    </v>
          </cell>
          <cell r="E26">
            <v>1815.56</v>
          </cell>
          <cell r="F26">
            <v>3.61</v>
          </cell>
          <cell r="G26">
            <v>6554.17</v>
          </cell>
        </row>
        <row r="27">
          <cell r="A27" t="str">
            <v>02.5</v>
          </cell>
          <cell r="B27">
            <v>200004</v>
          </cell>
          <cell r="C27" t="str">
            <v>DEMOLIÇÃO PISO CIMENTADO   SOBRE  LASTRO DE CONCRETO</v>
          </cell>
          <cell r="D27" t="str">
            <v xml:space="preserve">m2    </v>
          </cell>
          <cell r="E27">
            <v>3869.19</v>
          </cell>
          <cell r="F27">
            <v>9.44</v>
          </cell>
          <cell r="G27">
            <v>36525.15</v>
          </cell>
        </row>
        <row r="28">
          <cell r="A28" t="str">
            <v>02.6</v>
          </cell>
          <cell r="B28">
            <v>200020</v>
          </cell>
          <cell r="C28" t="str">
            <v xml:space="preserve">DEMOLIÇÃO PISO REVESTIDO COM LADRILHOS  </v>
          </cell>
          <cell r="D28" t="str">
            <v xml:space="preserve">m2    </v>
          </cell>
          <cell r="E28">
            <v>245.35</v>
          </cell>
          <cell r="F28">
            <v>5.07</v>
          </cell>
          <cell r="G28">
            <v>1243.92</v>
          </cell>
        </row>
        <row r="29">
          <cell r="A29" t="str">
            <v>02.7</v>
          </cell>
          <cell r="B29">
            <v>200009</v>
          </cell>
          <cell r="C29" t="str">
            <v>DEMOLIÇÃO  DE  CONTRAPISO  EM   CONCRETO SIMPLES</v>
          </cell>
          <cell r="D29" t="str">
            <v xml:space="preserve">m2    </v>
          </cell>
          <cell r="E29">
            <v>540</v>
          </cell>
          <cell r="F29">
            <v>9.44</v>
          </cell>
          <cell r="G29">
            <v>5097.6000000000004</v>
          </cell>
        </row>
        <row r="30">
          <cell r="A30" t="str">
            <v>02.8</v>
          </cell>
          <cell r="B30">
            <v>200024</v>
          </cell>
          <cell r="C30" t="str">
            <v>RETIRADA  DE  MEIO  FIO   GRANITICO   OU PRÉ-MOLDADO</v>
          </cell>
          <cell r="D30" t="str">
            <v xml:space="preserve">m     </v>
          </cell>
          <cell r="E30">
            <v>2393</v>
          </cell>
          <cell r="F30">
            <v>3.61</v>
          </cell>
          <cell r="G30">
            <v>8638.73</v>
          </cell>
        </row>
        <row r="31">
          <cell r="A31" t="str">
            <v>02.9</v>
          </cell>
          <cell r="B31">
            <v>200025</v>
          </cell>
          <cell r="C31" t="str">
            <v>RETIRADA     DE     PAVIMENTAÇÃO      EM PARALELEPÍPEDO REJUNTADO COM  CIMENTO  E AREIA,       COM        REAPROVEITAMENTO</v>
          </cell>
          <cell r="D31" t="str">
            <v xml:space="preserve">m2    </v>
          </cell>
          <cell r="E31">
            <v>9358</v>
          </cell>
          <cell r="F31">
            <v>4.3499999999999996</v>
          </cell>
          <cell r="G31">
            <v>40707.300000000003</v>
          </cell>
        </row>
        <row r="32">
          <cell r="A32" t="str">
            <v>02.10</v>
          </cell>
          <cell r="B32">
            <v>200060</v>
          </cell>
          <cell r="C32" t="str">
            <v>RETIRADA DE FOLHA DE PORTA OU JANELA</v>
          </cell>
          <cell r="D32" t="str">
            <v xml:space="preserve">m2    </v>
          </cell>
          <cell r="E32">
            <v>167.16</v>
          </cell>
          <cell r="F32">
            <v>2.9</v>
          </cell>
          <cell r="G32">
            <v>484.76</v>
          </cell>
        </row>
        <row r="33">
          <cell r="A33" t="str">
            <v>02.11</v>
          </cell>
          <cell r="B33">
            <v>200069</v>
          </cell>
          <cell r="C33" t="str">
            <v xml:space="preserve">RETIRADA DE CAIXA DE PORTA EM MADEIRA         </v>
          </cell>
          <cell r="D33" t="str">
            <v xml:space="preserve">un    </v>
          </cell>
          <cell r="E33">
            <v>115</v>
          </cell>
          <cell r="F33">
            <v>4.3499999999999996</v>
          </cell>
          <cell r="G33">
            <v>500.25</v>
          </cell>
        </row>
        <row r="34">
          <cell r="A34" t="str">
            <v>02.12</v>
          </cell>
          <cell r="B34">
            <v>200036</v>
          </cell>
          <cell r="C34" t="str">
            <v xml:space="preserve">RETIRADA DE ESQUADRIAS METÁLICAS          </v>
          </cell>
          <cell r="D34" t="str">
            <v xml:space="preserve">m2    </v>
          </cell>
          <cell r="E34">
            <v>25.5</v>
          </cell>
          <cell r="F34">
            <v>3.61</v>
          </cell>
          <cell r="G34">
            <v>92.06</v>
          </cell>
        </row>
        <row r="35">
          <cell r="A35" t="str">
            <v>02.13</v>
          </cell>
          <cell r="B35">
            <v>200089</v>
          </cell>
          <cell r="C35" t="str">
            <v xml:space="preserve">RETIRADA DE GRADE DE FERRO    </v>
          </cell>
          <cell r="D35" t="str">
            <v xml:space="preserve">m2    </v>
          </cell>
          <cell r="E35">
            <v>36.729999999999997</v>
          </cell>
          <cell r="F35">
            <v>3.28</v>
          </cell>
          <cell r="G35">
            <v>120.47</v>
          </cell>
        </row>
        <row r="36">
          <cell r="A36" t="str">
            <v>02.14</v>
          </cell>
          <cell r="B36">
            <v>200044</v>
          </cell>
          <cell r="C36" t="str">
            <v>RETIRADA   DE   DIVISÓRIA    LEVE    SEM REAPROVEITAMENTO</v>
          </cell>
          <cell r="D36" t="str">
            <v xml:space="preserve">m2    </v>
          </cell>
          <cell r="E36">
            <v>68</v>
          </cell>
          <cell r="F36">
            <v>5.28</v>
          </cell>
          <cell r="G36">
            <v>359.04</v>
          </cell>
        </row>
        <row r="37">
          <cell r="A37" t="str">
            <v>02.15</v>
          </cell>
          <cell r="B37">
            <v>200094</v>
          </cell>
          <cell r="C37" t="str">
            <v>RETIRADA  DE  DIVISÓRIAS  PRE-FABRICADS, GRANITO OU MÁRMORE</v>
          </cell>
          <cell r="D37" t="str">
            <v xml:space="preserve">m2    </v>
          </cell>
          <cell r="E37">
            <v>143.36000000000001</v>
          </cell>
          <cell r="F37">
            <v>12.75</v>
          </cell>
          <cell r="G37">
            <v>1827.84</v>
          </cell>
        </row>
        <row r="38">
          <cell r="A38" t="str">
            <v>02.16</v>
          </cell>
          <cell r="B38">
            <v>200008</v>
          </cell>
          <cell r="C38" t="str">
            <v xml:space="preserve">DEMOLIÇÃO MANUAL DE CONCRETO ARMADO </v>
          </cell>
          <cell r="D38" t="str">
            <v xml:space="preserve">m3    </v>
          </cell>
          <cell r="E38">
            <v>21.05</v>
          </cell>
          <cell r="F38">
            <v>174</v>
          </cell>
          <cell r="G38">
            <v>3662.7</v>
          </cell>
        </row>
        <row r="39">
          <cell r="A39" t="str">
            <v>02.17</v>
          </cell>
          <cell r="B39">
            <v>200003</v>
          </cell>
          <cell r="C39" t="str">
            <v xml:space="preserve">DEMOLIÇÃO DE CONCRETO SIMPLES        </v>
          </cell>
          <cell r="D39" t="str">
            <v xml:space="preserve">m3    </v>
          </cell>
          <cell r="E39">
            <v>14.5</v>
          </cell>
          <cell r="F39">
            <v>94.25</v>
          </cell>
          <cell r="G39">
            <v>1366.63</v>
          </cell>
        </row>
        <row r="40">
          <cell r="A40" t="str">
            <v>02.18</v>
          </cell>
          <cell r="B40">
            <v>200023</v>
          </cell>
          <cell r="C40" t="str">
            <v>RETIRADA DE  LUMINÁRIA  FLUORESCENTE  DE 1 OU 2 LÂMPADAS</v>
          </cell>
          <cell r="D40" t="str">
            <v xml:space="preserve">un    </v>
          </cell>
          <cell r="E40">
            <v>335</v>
          </cell>
          <cell r="F40">
            <v>5.91</v>
          </cell>
          <cell r="G40">
            <v>1979.85</v>
          </cell>
        </row>
        <row r="41">
          <cell r="A41" t="str">
            <v>02.19</v>
          </cell>
          <cell r="B41">
            <v>200054</v>
          </cell>
          <cell r="C41" t="str">
            <v>RETIRADA  DE  QUADRO   DE   DISTRIBUIÇÃO PARA ATÉ 06 DISJUNTORES</v>
          </cell>
          <cell r="D41" t="str">
            <v xml:space="preserve">un    </v>
          </cell>
          <cell r="E41">
            <v>10</v>
          </cell>
          <cell r="F41">
            <v>8.15</v>
          </cell>
          <cell r="G41">
            <v>81.5</v>
          </cell>
        </row>
        <row r="42">
          <cell r="A42" t="str">
            <v>02.20</v>
          </cell>
          <cell r="B42">
            <v>200056</v>
          </cell>
          <cell r="C42" t="str">
            <v>RETIRADA  DE  QUADRO   DE   DISTRIBUIÇÃO PARA ATÉ 12 DISJUNTORES</v>
          </cell>
          <cell r="D42" t="str">
            <v xml:space="preserve">un    </v>
          </cell>
          <cell r="E42">
            <v>8</v>
          </cell>
          <cell r="F42">
            <v>9.36</v>
          </cell>
          <cell r="G42">
            <v>74.88</v>
          </cell>
        </row>
        <row r="43">
          <cell r="A43" t="str">
            <v>02.21</v>
          </cell>
          <cell r="B43">
            <v>200057</v>
          </cell>
          <cell r="C43" t="str">
            <v>RETIRADA  DE  QUADRO   DE   DISTRIBUIÇÃO PARA ATÉ 18 DISJUNTORES</v>
          </cell>
          <cell r="D43" t="str">
            <v xml:space="preserve">un    </v>
          </cell>
          <cell r="E43">
            <v>6</v>
          </cell>
          <cell r="F43">
            <v>10.64</v>
          </cell>
          <cell r="G43">
            <v>63.84</v>
          </cell>
        </row>
        <row r="44">
          <cell r="A44" t="str">
            <v>02.22</v>
          </cell>
          <cell r="B44">
            <v>200058</v>
          </cell>
          <cell r="C44" t="str">
            <v xml:space="preserve">RETIRADA DE GLOBO LEITOSO OU ARANDELA   </v>
          </cell>
          <cell r="D44" t="str">
            <v xml:space="preserve">un    </v>
          </cell>
          <cell r="E44">
            <v>88</v>
          </cell>
          <cell r="F44">
            <v>1.66</v>
          </cell>
          <cell r="G44">
            <v>146.08000000000001</v>
          </cell>
        </row>
        <row r="45">
          <cell r="A45" t="str">
            <v>02.23</v>
          </cell>
          <cell r="B45">
            <v>200072</v>
          </cell>
          <cell r="C45" t="str">
            <v>RETIRADA DE BANCADA DE PIA  EM  GRANITO, MÁRMORE OU AÇO INOX</v>
          </cell>
          <cell r="D45" t="str">
            <v xml:space="preserve">m     </v>
          </cell>
          <cell r="E45">
            <v>33.5</v>
          </cell>
          <cell r="F45">
            <v>10.55</v>
          </cell>
          <cell r="G45">
            <v>353.43</v>
          </cell>
        </row>
        <row r="46">
          <cell r="A46" t="str">
            <v>02.24</v>
          </cell>
          <cell r="B46" t="str">
            <v>COMP-01</v>
          </cell>
          <cell r="C46" t="str">
            <v xml:space="preserve">RETIRADA DE BANCADA  EM  GRANITO OU MÁRMORE </v>
          </cell>
          <cell r="D46" t="str">
            <v xml:space="preserve">m     </v>
          </cell>
          <cell r="E46">
            <v>107.19</v>
          </cell>
          <cell r="F46">
            <v>10.56</v>
          </cell>
          <cell r="G46">
            <v>1131.93</v>
          </cell>
        </row>
        <row r="47">
          <cell r="A47" t="str">
            <v>02.25</v>
          </cell>
          <cell r="B47">
            <v>200017</v>
          </cell>
          <cell r="C47" t="str">
            <v>RETIRADA DE LOUÇA SANITÁRIA E METAIS</v>
          </cell>
          <cell r="D47" t="str">
            <v xml:space="preserve">un    </v>
          </cell>
          <cell r="E47">
            <v>110</v>
          </cell>
          <cell r="F47">
            <v>7.19</v>
          </cell>
          <cell r="G47">
            <v>790.9</v>
          </cell>
        </row>
        <row r="48">
          <cell r="A48" t="str">
            <v>02.26</v>
          </cell>
          <cell r="B48">
            <v>200027</v>
          </cell>
          <cell r="C48" t="str">
            <v xml:space="preserve">RETIRADA DE VIDRO SEM REAPROVEITAMENTO                       </v>
          </cell>
          <cell r="D48" t="str">
            <v xml:space="preserve">m2    </v>
          </cell>
          <cell r="E48">
            <v>102.73</v>
          </cell>
          <cell r="F48">
            <v>6.49</v>
          </cell>
          <cell r="G48">
            <v>666.72</v>
          </cell>
        </row>
        <row r="49">
          <cell r="A49" t="str">
            <v>03</v>
          </cell>
          <cell r="B49">
            <v>0</v>
          </cell>
          <cell r="C49" t="str">
            <v>TRABALHOS EM TERRA</v>
          </cell>
          <cell r="D49">
            <v>0</v>
          </cell>
          <cell r="E49">
            <v>0</v>
          </cell>
          <cell r="F49">
            <v>0</v>
          </cell>
          <cell r="G49">
            <v>407932.06</v>
          </cell>
        </row>
        <row r="50">
          <cell r="A50" t="str">
            <v>03.1</v>
          </cell>
          <cell r="B50">
            <v>20010</v>
          </cell>
          <cell r="C50" t="str">
            <v>ESCAVAÇÃO  MANUAL  DE  VALAS   EM   SOLO EXCETO ROCHA ATÉ 1,00m  DE  PROFUNDIDADE</v>
          </cell>
          <cell r="D50" t="str">
            <v xml:space="preserve">m3    </v>
          </cell>
          <cell r="E50">
            <v>134.5</v>
          </cell>
          <cell r="F50">
            <v>12.85</v>
          </cell>
          <cell r="G50">
            <v>1728.33</v>
          </cell>
        </row>
        <row r="51">
          <cell r="A51" t="str">
            <v>03.2</v>
          </cell>
          <cell r="B51">
            <v>20037</v>
          </cell>
          <cell r="C51" t="str">
            <v>CARGA MECANIZADA C/BOTA FORA DE MATERIAL ATÉ 10,00 km</v>
          </cell>
          <cell r="D51" t="str">
            <v xml:space="preserve">m3    </v>
          </cell>
          <cell r="E51">
            <v>449.59</v>
          </cell>
          <cell r="F51">
            <v>18.2</v>
          </cell>
          <cell r="G51">
            <v>8182.54</v>
          </cell>
        </row>
        <row r="52">
          <cell r="A52" t="str">
            <v>03.3</v>
          </cell>
          <cell r="B52">
            <v>20001</v>
          </cell>
          <cell r="C52" t="str">
            <v>ATERRO  COM  EMPRÉSTIMO  DE  AREIA  PARA ATERRO       MANUALMENTE        APILOADO</v>
          </cell>
          <cell r="D52" t="str">
            <v xml:space="preserve">m3    </v>
          </cell>
          <cell r="E52">
            <v>44.88</v>
          </cell>
          <cell r="F52">
            <v>47.67</v>
          </cell>
          <cell r="G52">
            <v>2139.4299999999998</v>
          </cell>
        </row>
        <row r="53">
          <cell r="A53" t="str">
            <v>03.4</v>
          </cell>
          <cell r="B53" t="str">
            <v>2 S 01 100 32</v>
          </cell>
          <cell r="C53" t="str">
            <v>ESCAVAÇÃO E CARGA EM MATERIAL DE 1ª CATEGORIA COM TRANSPORTE, COM DMT. DE 2001 A 3000m</v>
          </cell>
          <cell r="D53" t="str">
            <v xml:space="preserve">m3    </v>
          </cell>
          <cell r="E53">
            <v>39795.75</v>
          </cell>
          <cell r="F53">
            <v>7.37</v>
          </cell>
          <cell r="G53">
            <v>293294.68</v>
          </cell>
        </row>
        <row r="54">
          <cell r="A54" t="str">
            <v>03.5</v>
          </cell>
          <cell r="B54" t="str">
            <v>2 S 01 510 00</v>
          </cell>
          <cell r="C54" t="str">
            <v>COMPACTAÇÃO DE ATERRO À 95% DO PN</v>
          </cell>
          <cell r="D54" t="str">
            <v xml:space="preserve">m3    </v>
          </cell>
          <cell r="E54">
            <v>31836.6</v>
          </cell>
          <cell r="F54">
            <v>1.96</v>
          </cell>
          <cell r="G54">
            <v>62399.74</v>
          </cell>
        </row>
        <row r="55">
          <cell r="A55" t="str">
            <v>03.6</v>
          </cell>
          <cell r="B55" t="str">
            <v>2 S 01 000 00</v>
          </cell>
          <cell r="C55" t="str">
            <v>DESMATAMENTO, DESTOCAMENTO E LIMPEZA DE ÁREA</v>
          </cell>
          <cell r="D55" t="str">
            <v xml:space="preserve">m2    </v>
          </cell>
          <cell r="E55">
            <v>33730</v>
          </cell>
          <cell r="F55">
            <v>0.24</v>
          </cell>
          <cell r="G55">
            <v>8095.2</v>
          </cell>
        </row>
        <row r="56">
          <cell r="A56" t="str">
            <v>03.7</v>
          </cell>
          <cell r="B56">
            <v>20027</v>
          </cell>
          <cell r="C56" t="str">
            <v xml:space="preserve">CORTE E ATERRO COMPENSADO               </v>
          </cell>
          <cell r="D56" t="str">
            <v xml:space="preserve">m3    </v>
          </cell>
          <cell r="E56">
            <v>2582.4</v>
          </cell>
          <cell r="F56">
            <v>4.6399999999999997</v>
          </cell>
          <cell r="G56">
            <v>11982.34</v>
          </cell>
        </row>
        <row r="57">
          <cell r="A57" t="str">
            <v>03.8</v>
          </cell>
          <cell r="B57" t="str">
            <v>COMP-05</v>
          </cell>
          <cell r="C57" t="str">
            <v>FORNECIMENTO E ASSENTAMENTO DE TUBO DE CONCRETO ARMADO D=0,40m</v>
          </cell>
          <cell r="D57" t="str">
            <v>m</v>
          </cell>
          <cell r="E57">
            <v>76</v>
          </cell>
          <cell r="F57">
            <v>64.67</v>
          </cell>
          <cell r="G57">
            <v>4914.92</v>
          </cell>
        </row>
        <row r="58">
          <cell r="A58" t="str">
            <v>03.9</v>
          </cell>
          <cell r="B58">
            <v>70150</v>
          </cell>
          <cell r="C58" t="str">
            <v>TUBULAÇÃO EM CONCRETO ARMADO  COM  JUNTA EM CIMENTO E AREIA (1:3),  DIÂMETRO  600 mm</v>
          </cell>
          <cell r="D58" t="str">
            <v xml:space="preserve">m     </v>
          </cell>
          <cell r="E58">
            <v>128</v>
          </cell>
          <cell r="F58">
            <v>118.71</v>
          </cell>
          <cell r="G58">
            <v>15194.88</v>
          </cell>
        </row>
        <row r="59">
          <cell r="A59" t="str">
            <v>04</v>
          </cell>
          <cell r="B59">
            <v>0</v>
          </cell>
          <cell r="C59" t="str">
            <v>FUNDAÇÕES</v>
          </cell>
          <cell r="D59">
            <v>0</v>
          </cell>
          <cell r="E59">
            <v>0</v>
          </cell>
          <cell r="F59">
            <v>0</v>
          </cell>
          <cell r="G59">
            <v>74709.740000000005</v>
          </cell>
        </row>
        <row r="60">
          <cell r="A60" t="str">
            <v>04.1</v>
          </cell>
          <cell r="B60">
            <v>30034</v>
          </cell>
          <cell r="C60" t="str">
            <v>ALVENARIA     PEDRA     MARROADA     COM ARGAMASSA  DE  CIMENTO  E  AREIA   (1:4)</v>
          </cell>
          <cell r="D60" t="str">
            <v xml:space="preserve">m3    </v>
          </cell>
          <cell r="E60">
            <v>125.86</v>
          </cell>
          <cell r="F60">
            <v>234.07</v>
          </cell>
          <cell r="G60">
            <v>29460.05</v>
          </cell>
        </row>
        <row r="61">
          <cell r="A61" t="str">
            <v>04.2</v>
          </cell>
          <cell r="B61">
            <v>30036</v>
          </cell>
          <cell r="C61" t="str">
            <v>EMBASAMENTO    C/TIJOLO    CERÂMICO    E ARGAMASSA  DE  CIMENTO,  CAL   E   AREIA (1:1:6)</v>
          </cell>
          <cell r="D61" t="str">
            <v xml:space="preserve">m3    </v>
          </cell>
          <cell r="E61">
            <v>26.69</v>
          </cell>
          <cell r="F61">
            <v>239.66</v>
          </cell>
          <cell r="G61">
            <v>6396.53</v>
          </cell>
        </row>
        <row r="62">
          <cell r="A62" t="str">
            <v>04.3</v>
          </cell>
          <cell r="B62">
            <v>30048</v>
          </cell>
          <cell r="C62" t="str">
            <v>CONCRETO    ARMADO     PARA     SAPATAS, PILARETES CINTAS  Fck=25  MPa  INCLUSIVE LANÇAMENTO</v>
          </cell>
          <cell r="D62" t="str">
            <v xml:space="preserve">m3    </v>
          </cell>
          <cell r="E62">
            <v>36.5</v>
          </cell>
          <cell r="F62">
            <v>1064.47</v>
          </cell>
          <cell r="G62">
            <v>38853.160000000003</v>
          </cell>
        </row>
        <row r="63">
          <cell r="A63" t="str">
            <v>05</v>
          </cell>
          <cell r="B63">
            <v>0</v>
          </cell>
          <cell r="C63" t="str">
            <v>ESTRUTURAS</v>
          </cell>
          <cell r="D63">
            <v>0</v>
          </cell>
          <cell r="E63">
            <v>0</v>
          </cell>
          <cell r="F63">
            <v>0</v>
          </cell>
          <cell r="G63">
            <v>232724.29</v>
          </cell>
        </row>
        <row r="64">
          <cell r="A64" t="str">
            <v>05.1</v>
          </cell>
          <cell r="B64">
            <v>40042</v>
          </cell>
          <cell r="C64" t="str">
            <v>CONCRETO  ARMADO  PARA  PILAR,  VIGA   E LAJE  Fck=25  MPa  INCLUSIVE  LANÇAMENTO</v>
          </cell>
          <cell r="D64" t="str">
            <v xml:space="preserve">m3    </v>
          </cell>
          <cell r="E64">
            <v>120.76</v>
          </cell>
          <cell r="F64">
            <v>1423.48</v>
          </cell>
          <cell r="G64">
            <v>171899.44</v>
          </cell>
        </row>
        <row r="65">
          <cell r="A65" t="str">
            <v>05.2</v>
          </cell>
          <cell r="B65">
            <v>40037</v>
          </cell>
          <cell r="C65" t="str">
            <v>LAJE TRELIÇADA UNIDIRECIONAL COM  17  cm DE  ALTURA,   BLOCOS   CERAMICOS   (BETA 12+5),  VÃO  ATÉ  5,00M  E  400   kg/m2, INCLUSIVE  CAPEAMENTO  COM   5,00CM   DE ESPESURA E ESCORAMENTO</v>
          </cell>
          <cell r="D65" t="str">
            <v xml:space="preserve">m2    </v>
          </cell>
          <cell r="E65">
            <v>528.59</v>
          </cell>
          <cell r="F65">
            <v>115.07</v>
          </cell>
          <cell r="G65">
            <v>60824.85</v>
          </cell>
        </row>
        <row r="66">
          <cell r="A66" t="str">
            <v>06</v>
          </cell>
          <cell r="B66">
            <v>0</v>
          </cell>
          <cell r="C66" t="str">
            <v>PAREDES E PAINEIS</v>
          </cell>
          <cell r="D66">
            <v>0</v>
          </cell>
          <cell r="E66">
            <v>0</v>
          </cell>
          <cell r="F66">
            <v>0</v>
          </cell>
          <cell r="G66">
            <v>190683.83</v>
          </cell>
        </row>
        <row r="67">
          <cell r="A67" t="str">
            <v>06.1</v>
          </cell>
          <cell r="B67">
            <v>50023</v>
          </cell>
          <cell r="C67" t="str">
            <v>ALVENARIA   DE   ELEVAÇÃO   EM    TIJOLO CERÂMICO 10 cm ASSENTADO  COM  ARGAMASSA DE   CIMENTO   CAL   E   AREIA   (1:2:6)</v>
          </cell>
          <cell r="D67" t="str">
            <v xml:space="preserve">m2    </v>
          </cell>
          <cell r="E67">
            <v>1654.89</v>
          </cell>
          <cell r="F67">
            <v>27.64</v>
          </cell>
          <cell r="G67">
            <v>45741.16</v>
          </cell>
        </row>
        <row r="68">
          <cell r="A68" t="str">
            <v>06.2</v>
          </cell>
          <cell r="B68">
            <v>90021</v>
          </cell>
          <cell r="C68" t="str">
            <v>DIVISÓRIA EM PAINEL DIVILUX  SEM  VIDRO, MONTANTE/RODAPE   SIMPLES,   PERFIL   DE ALUMINIO   (FORNECIMENTO   E   MONTAGEM)</v>
          </cell>
          <cell r="D68" t="str">
            <v xml:space="preserve">m2    </v>
          </cell>
          <cell r="E68">
            <v>56.36</v>
          </cell>
          <cell r="F68">
            <v>72</v>
          </cell>
          <cell r="G68">
            <v>4057.92</v>
          </cell>
        </row>
        <row r="69">
          <cell r="A69" t="str">
            <v>06.3</v>
          </cell>
          <cell r="B69">
            <v>100022</v>
          </cell>
          <cell r="C69" t="str">
            <v>DIVISÓRIA EM  GRANITO  CINZA  ANDORINHA, POLIDO  NAS  DUAS  FACES,  ESP.=2,0  cm, INCLUSIVE ASSENTAMENTO</v>
          </cell>
          <cell r="D69" t="str">
            <v xml:space="preserve">m2    </v>
          </cell>
          <cell r="E69">
            <v>78.319999999999993</v>
          </cell>
          <cell r="F69">
            <v>268.91000000000003</v>
          </cell>
          <cell r="G69">
            <v>21061.03</v>
          </cell>
        </row>
        <row r="70">
          <cell r="A70" t="str">
            <v>06.4</v>
          </cell>
          <cell r="B70" t="str">
            <v>COMP-06</v>
          </cell>
          <cell r="C70" t="str">
            <v>DIVISÓRIA EM PAINEL DIVILUX  COM  VIDRO, MONTANTE/RODAPE   SIMPLES,   PERFIL   DE ALUMINIO   (FORNECIMENTO   E   MONTAGEM)</v>
          </cell>
          <cell r="D70" t="str">
            <v xml:space="preserve">m2    </v>
          </cell>
          <cell r="E70">
            <v>137.66999999999999</v>
          </cell>
          <cell r="F70">
            <v>106</v>
          </cell>
          <cell r="G70">
            <v>14593.02</v>
          </cell>
        </row>
        <row r="71">
          <cell r="A71" t="str">
            <v>06.5</v>
          </cell>
          <cell r="B71" t="str">
            <v>COMP-07</v>
          </cell>
          <cell r="C71" t="str">
            <v>DIVISÓRIA EM  VIDRO TEMPERADO INCOLOR 10mm, AFIXADO SOBRE TUBO EM AÇO INOXIDÁVEL ACABAMENTO POLIDO, SEÇÃO QUADRADA 2”X 2”.</v>
          </cell>
          <cell r="D71" t="str">
            <v xml:space="preserve">m2    </v>
          </cell>
          <cell r="E71">
            <v>22.05</v>
          </cell>
          <cell r="F71">
            <v>590</v>
          </cell>
          <cell r="G71">
            <v>13009.5</v>
          </cell>
        </row>
        <row r="72">
          <cell r="A72" t="str">
            <v>06.6</v>
          </cell>
          <cell r="B72" t="str">
            <v>COMP-08</v>
          </cell>
          <cell r="C72" t="str">
            <v>DIVISÓRIA EM  VIDRO TEMPERADO INCOLOR 10mm, INCLUSIVE ASSENTAMENTO E FERRAGENS</v>
          </cell>
          <cell r="D72" t="str">
            <v xml:space="preserve">m2    </v>
          </cell>
          <cell r="E72">
            <v>75.94</v>
          </cell>
          <cell r="F72">
            <v>450</v>
          </cell>
          <cell r="G72">
            <v>34173</v>
          </cell>
        </row>
        <row r="73">
          <cell r="A73" t="str">
            <v>06.7</v>
          </cell>
          <cell r="B73" t="str">
            <v>COMP-09</v>
          </cell>
          <cell r="C73" t="str">
            <v xml:space="preserve">DIVISÓRIAS ESTRUTURADAS EM TUBOS DE AÇO INOXIDÁVEL SEÇÃO QUADRADA E VIDRO LAMINADO 3+3mm COM PVB </v>
          </cell>
          <cell r="D73" t="str">
            <v>m2</v>
          </cell>
          <cell r="E73">
            <v>87.88</v>
          </cell>
          <cell r="F73">
            <v>585</v>
          </cell>
          <cell r="G73">
            <v>51409.8</v>
          </cell>
        </row>
        <row r="74">
          <cell r="A74" t="str">
            <v>06.8</v>
          </cell>
          <cell r="B74" t="str">
            <v>COMP-10</v>
          </cell>
          <cell r="C74" t="str">
            <v xml:space="preserve">DIVISÓRIAS ESTRUTURADAS EM TUBOS DE AÇO INOXIDÁVEL SEÇÃO QUADRADA E VIDRO LAMINADO 4+4mm COM PVB </v>
          </cell>
          <cell r="D74" t="str">
            <v>m2</v>
          </cell>
          <cell r="E74">
            <v>9.2200000000000006</v>
          </cell>
          <cell r="F74">
            <v>720</v>
          </cell>
          <cell r="G74">
            <v>6638.4</v>
          </cell>
        </row>
        <row r="75">
          <cell r="A75" t="str">
            <v>07</v>
          </cell>
          <cell r="B75">
            <v>0</v>
          </cell>
          <cell r="C75" t="str">
            <v>COBERTURA</v>
          </cell>
          <cell r="D75">
            <v>0</v>
          </cell>
          <cell r="E75">
            <v>0</v>
          </cell>
          <cell r="F75">
            <v>0</v>
          </cell>
          <cell r="G75">
            <v>376321.28000000003</v>
          </cell>
        </row>
        <row r="76">
          <cell r="A76" t="str">
            <v>07.1</v>
          </cell>
          <cell r="B76">
            <v>80005</v>
          </cell>
          <cell r="C76" t="str">
            <v>CALHA EM CHAPA DE ALUMÍNIO  COM  LARGURA de   1,00m   E   ESPESSURA   DE    0,8mm</v>
          </cell>
          <cell r="D76" t="str">
            <v xml:space="preserve">m     </v>
          </cell>
          <cell r="E76">
            <v>622</v>
          </cell>
          <cell r="F76">
            <v>73.430000000000007</v>
          </cell>
          <cell r="G76">
            <v>45673.46</v>
          </cell>
        </row>
        <row r="77">
          <cell r="A77" t="str">
            <v>07.2</v>
          </cell>
          <cell r="B77" t="str">
            <v>COMP-11</v>
          </cell>
          <cell r="C77" t="str">
            <v>COBERTURA   COM   TELHA   DE    ALUMINIO TRAPEZOIDAL,   ESP.=0,7mm,   FIXADA   SOBRE TERÇA METALICA</v>
          </cell>
          <cell r="D77" t="str">
            <v xml:space="preserve">m2    </v>
          </cell>
          <cell r="E77">
            <v>105</v>
          </cell>
          <cell r="F77">
            <v>49.32</v>
          </cell>
          <cell r="G77">
            <v>5178.6000000000004</v>
          </cell>
        </row>
        <row r="78">
          <cell r="A78" t="str">
            <v>07.3</v>
          </cell>
          <cell r="B78" t="str">
            <v>COMP-12</v>
          </cell>
          <cell r="C78" t="str">
            <v>PAINÉIS EM ESTRUTURA DE ALUMINIO COM ACABAMENTO EM ACM (ALUMÍNIO COMPOSTO), FIXADO SOBRE A PLATIBANDA EXISTENTE COM A DEVIDA PROTEÇÃO CONTRA INFILTRAÇÃO D'AGUA, CORES CONFORME PROJETO</v>
          </cell>
          <cell r="D78" t="str">
            <v xml:space="preserve">m2    </v>
          </cell>
          <cell r="E78">
            <v>1038.3</v>
          </cell>
          <cell r="F78">
            <v>250</v>
          </cell>
          <cell r="G78">
            <v>259575</v>
          </cell>
        </row>
        <row r="79">
          <cell r="A79" t="str">
            <v>07.4</v>
          </cell>
          <cell r="B79" t="str">
            <v>COMP-13</v>
          </cell>
          <cell r="C79" t="str">
            <v>CORNIJA EM CHAPA DE AÇO N º20 COM PINTURA EM TINTA AUTOMOTIVA COM CORES CONFORME PROJETO, INCLUSIVE FIXAÇÃO COM PARABOUT</v>
          </cell>
          <cell r="D79" t="str">
            <v>m</v>
          </cell>
          <cell r="E79">
            <v>467.27</v>
          </cell>
          <cell r="F79">
            <v>123.64</v>
          </cell>
          <cell r="G79">
            <v>57773.26</v>
          </cell>
        </row>
        <row r="80">
          <cell r="A80" t="str">
            <v>07.5</v>
          </cell>
          <cell r="B80">
            <v>80087</v>
          </cell>
          <cell r="C80" t="str">
            <v>ESTRUTURA  DE  MADEIRA  PONTALETADA   EM MASSARANDUBA PARA  COBERTURA  COM  TELHA EM FIBROCIMENTO</v>
          </cell>
          <cell r="D80" t="str">
            <v xml:space="preserve">m2    </v>
          </cell>
          <cell r="E80">
            <v>74</v>
          </cell>
          <cell r="F80">
            <v>37.130000000000003</v>
          </cell>
          <cell r="G80">
            <v>2747.62</v>
          </cell>
        </row>
        <row r="81">
          <cell r="A81" t="str">
            <v>07.6</v>
          </cell>
          <cell r="B81">
            <v>80018</v>
          </cell>
          <cell r="C81" t="str">
            <v>COBERTURA   COM   TELHA   ONDULADA    DE FIBROCIMENTO   TIPO    COB,    ESP.=6mm, FIXADA   SOBRE   TERÇA    DE    MADEIRA, EXCLUSIVE CUMEEIRA</v>
          </cell>
          <cell r="D81" t="str">
            <v xml:space="preserve">m2    </v>
          </cell>
          <cell r="E81">
            <v>74</v>
          </cell>
          <cell r="F81">
            <v>23.86</v>
          </cell>
          <cell r="G81">
            <v>1765.64</v>
          </cell>
        </row>
        <row r="82">
          <cell r="A82" t="str">
            <v>07.7</v>
          </cell>
          <cell r="B82">
            <v>80024</v>
          </cell>
          <cell r="C82" t="str">
            <v>CUMEEIRA  NORMAL  DE  FIBROCIMENTO  PARA TELHA TIPO COB, ESP.=6mm,  FIXADA  SOBRE TERÇA DE MADEIRA</v>
          </cell>
          <cell r="D82" t="str">
            <v xml:space="preserve">m     </v>
          </cell>
          <cell r="E82">
            <v>45</v>
          </cell>
          <cell r="F82">
            <v>38.46</v>
          </cell>
          <cell r="G82">
            <v>1730.7</v>
          </cell>
        </row>
        <row r="83">
          <cell r="A83" t="str">
            <v>07.8</v>
          </cell>
          <cell r="B83">
            <v>80086</v>
          </cell>
          <cell r="C83" t="str">
            <v>RUFO  EM  CONCRETO  PRE-FABRICADO,   COM L=25cm  E  ESP.=3,0cm,   ASSENTADO   COM ARGAMASSA  DE  CIMENTO  E  AREIA   (1:3)</v>
          </cell>
          <cell r="D83" t="str">
            <v xml:space="preserve">m     </v>
          </cell>
          <cell r="E83">
            <v>50</v>
          </cell>
          <cell r="F83">
            <v>37.54</v>
          </cell>
          <cell r="G83">
            <v>1877</v>
          </cell>
        </row>
        <row r="84">
          <cell r="A84" t="str">
            <v>08</v>
          </cell>
          <cell r="B84">
            <v>0</v>
          </cell>
          <cell r="C84" t="str">
            <v>INSTALAÇÕES ELÉTRICAS</v>
          </cell>
          <cell r="D84">
            <v>0</v>
          </cell>
          <cell r="E84">
            <v>0</v>
          </cell>
          <cell r="F84">
            <v>0</v>
          </cell>
          <cell r="G84">
            <v>429345.2699999999</v>
          </cell>
        </row>
        <row r="85">
          <cell r="A85" t="str">
            <v>08.1</v>
          </cell>
          <cell r="B85">
            <v>60252</v>
          </cell>
          <cell r="C85" t="str">
            <v>CABO  PARA  INSTALAÇÃO  ELÉTRICA   SEÇÃO 2,5 mm2</v>
          </cell>
          <cell r="D85" t="str">
            <v xml:space="preserve">m     </v>
          </cell>
          <cell r="E85">
            <v>3300</v>
          </cell>
          <cell r="F85">
            <v>2.37</v>
          </cell>
          <cell r="G85">
            <v>7821</v>
          </cell>
        </row>
        <row r="86">
          <cell r="A86" t="str">
            <v>08.2</v>
          </cell>
          <cell r="B86">
            <v>60018</v>
          </cell>
          <cell r="C86" t="str">
            <v>CABO PARA INSTALAÇÃO  ELÉTRICA  SEÇÃO  4 mm2</v>
          </cell>
          <cell r="D86" t="str">
            <v xml:space="preserve">m     </v>
          </cell>
          <cell r="E86">
            <v>4100</v>
          </cell>
          <cell r="F86">
            <v>3.18</v>
          </cell>
          <cell r="G86">
            <v>13038</v>
          </cell>
        </row>
        <row r="87">
          <cell r="A87" t="str">
            <v>08.3</v>
          </cell>
          <cell r="B87">
            <v>60020</v>
          </cell>
          <cell r="C87" t="str">
            <v>CABO PARA INSTALAÇÃO  ELÉTRICA  SEÇÃO  6 mm2</v>
          </cell>
          <cell r="D87" t="str">
            <v xml:space="preserve">m     </v>
          </cell>
          <cell r="E87">
            <v>2800</v>
          </cell>
          <cell r="F87">
            <v>3.86</v>
          </cell>
          <cell r="G87">
            <v>10808</v>
          </cell>
        </row>
        <row r="88">
          <cell r="A88" t="str">
            <v>08.4</v>
          </cell>
          <cell r="B88">
            <v>60010</v>
          </cell>
          <cell r="C88" t="str">
            <v>CABO PARA INSTALAÇÃO ELÉTRICA  SEÇÃO  10 mm2</v>
          </cell>
          <cell r="D88" t="str">
            <v xml:space="preserve">m     </v>
          </cell>
          <cell r="E88">
            <v>1250</v>
          </cell>
          <cell r="F88">
            <v>5.64</v>
          </cell>
          <cell r="G88">
            <v>7050</v>
          </cell>
        </row>
        <row r="89">
          <cell r="A89" t="str">
            <v>08.5</v>
          </cell>
          <cell r="B89">
            <v>60424</v>
          </cell>
          <cell r="C89" t="str">
            <v>CABO FLEXÍVEL PP 2x2,5mm2 1KV</v>
          </cell>
          <cell r="D89" t="str">
            <v xml:space="preserve">m     </v>
          </cell>
          <cell r="E89">
            <v>250</v>
          </cell>
          <cell r="F89">
            <v>4.2</v>
          </cell>
          <cell r="G89">
            <v>1050</v>
          </cell>
        </row>
        <row r="90">
          <cell r="A90" t="str">
            <v>08.6</v>
          </cell>
          <cell r="B90" t="str">
            <v>COMP-14</v>
          </cell>
          <cell r="C90" t="str">
            <v>CABO FLEXÍVEL PP 2x4mm2 1KV</v>
          </cell>
          <cell r="D90" t="str">
            <v xml:space="preserve">m     </v>
          </cell>
          <cell r="E90">
            <v>540</v>
          </cell>
          <cell r="F90">
            <v>6.08</v>
          </cell>
          <cell r="G90">
            <v>3283.2</v>
          </cell>
        </row>
        <row r="91">
          <cell r="A91" t="str">
            <v>08.7</v>
          </cell>
          <cell r="B91" t="str">
            <v>COMP-15</v>
          </cell>
          <cell r="C91" t="str">
            <v>CABO FLEXÍVEL PP 2x6mm2 1KV</v>
          </cell>
          <cell r="D91" t="str">
            <v xml:space="preserve">m     </v>
          </cell>
          <cell r="E91">
            <v>430</v>
          </cell>
          <cell r="F91">
            <v>7.62</v>
          </cell>
          <cell r="G91">
            <v>3276.6</v>
          </cell>
        </row>
        <row r="92">
          <cell r="A92" t="str">
            <v>08.8</v>
          </cell>
          <cell r="B92" t="str">
            <v>COMP-16</v>
          </cell>
          <cell r="C92" t="str">
            <v>RECUPERAÇÃO DE QUADRO DE MEDIDORES, COM SUBSTITUIÇÃO DE PEÇAS, CHAPAS DE AÇO E FUNDO DE MADEIRA</v>
          </cell>
          <cell r="D92" t="str">
            <v xml:space="preserve">un    </v>
          </cell>
          <cell r="E92">
            <v>8</v>
          </cell>
          <cell r="F92">
            <v>332.95</v>
          </cell>
          <cell r="G92">
            <v>2663.6</v>
          </cell>
        </row>
        <row r="93">
          <cell r="A93" t="str">
            <v>08.9</v>
          </cell>
          <cell r="B93">
            <v>60438</v>
          </cell>
          <cell r="C93" t="str">
            <v>CAIXA  DE  PASSAGEM  EM   ALVENARIA   DE TIJOLO    MACIÇO    10CM,    60x60x60cm, INCLUSIVE REVESTIMENTO,  TAMPA  CONCRETO E FUNDO DE BRITA</v>
          </cell>
          <cell r="D93" t="str">
            <v xml:space="preserve">un    </v>
          </cell>
          <cell r="E93">
            <v>25</v>
          </cell>
          <cell r="F93">
            <v>140.57</v>
          </cell>
          <cell r="G93">
            <v>3514.25</v>
          </cell>
        </row>
        <row r="94">
          <cell r="A94" t="str">
            <v>08.10</v>
          </cell>
          <cell r="B94">
            <v>60037</v>
          </cell>
          <cell r="C94" t="str">
            <v>CONJUNTO   INTERRUPTOR   CORRENTE    C/1 SEÇÃO SIMPLES 10A, 250V</v>
          </cell>
          <cell r="D94" t="str">
            <v xml:space="preserve">un    </v>
          </cell>
          <cell r="E94">
            <v>40</v>
          </cell>
          <cell r="F94">
            <v>7.77</v>
          </cell>
          <cell r="G94">
            <v>310.8</v>
          </cell>
        </row>
        <row r="95">
          <cell r="A95" t="str">
            <v>08.11</v>
          </cell>
          <cell r="B95">
            <v>60038</v>
          </cell>
          <cell r="C95" t="str">
            <v>CONJUNTO   INTERRUPTOR   CORRENTE    C/2 SEÇÕES SIMPLES 10A, 250V</v>
          </cell>
          <cell r="D95" t="str">
            <v xml:space="preserve">un    </v>
          </cell>
          <cell r="E95">
            <v>37</v>
          </cell>
          <cell r="F95">
            <v>13.49</v>
          </cell>
          <cell r="G95">
            <v>499.13</v>
          </cell>
        </row>
        <row r="96">
          <cell r="A96" t="str">
            <v>08.12</v>
          </cell>
          <cell r="B96">
            <v>60039</v>
          </cell>
          <cell r="C96" t="str">
            <v>CONJUNTO   INTERRUPTOR   CORRENTE    C/3 SEÇÕES SIMPLES 10A, 250V</v>
          </cell>
          <cell r="D96" t="str">
            <v xml:space="preserve">un    </v>
          </cell>
          <cell r="E96">
            <v>22</v>
          </cell>
          <cell r="F96">
            <v>18.91</v>
          </cell>
          <cell r="G96">
            <v>416.02</v>
          </cell>
        </row>
        <row r="97">
          <cell r="A97" t="str">
            <v>08.13</v>
          </cell>
          <cell r="B97">
            <v>60045</v>
          </cell>
          <cell r="C97" t="str">
            <v>CONJUNTO TOMADA  DE  CORRENTE  UNIVERSAL MONOFÁSICA     2P+T,      10A,      250V</v>
          </cell>
          <cell r="D97" t="str">
            <v xml:space="preserve">un    </v>
          </cell>
          <cell r="E97">
            <v>50</v>
          </cell>
          <cell r="F97">
            <v>16.82</v>
          </cell>
          <cell r="G97">
            <v>841</v>
          </cell>
        </row>
        <row r="98">
          <cell r="A98" t="str">
            <v>08.14</v>
          </cell>
          <cell r="B98">
            <v>60071</v>
          </cell>
          <cell r="C98" t="str">
            <v>ELETRODUTO    PVC    SOLDÁVEL     RÍGIDO DIÂMETRO 25 mm (3/4") INCLUSIVE CONEXÕES</v>
          </cell>
          <cell r="D98" t="str">
            <v xml:space="preserve">m     </v>
          </cell>
          <cell r="E98">
            <v>850</v>
          </cell>
          <cell r="F98">
            <v>5.21</v>
          </cell>
          <cell r="G98">
            <v>4428.5</v>
          </cell>
        </row>
        <row r="99">
          <cell r="A99" t="str">
            <v>08.15</v>
          </cell>
          <cell r="B99">
            <v>60072</v>
          </cell>
          <cell r="C99" t="str">
            <v>ELETRODUTO    PVC    SOLDÁVEL     RÍGIDO DIÂMETRO 32 mm (1")  INCLUSIVE  CONEXÕES</v>
          </cell>
          <cell r="D99" t="str">
            <v xml:space="preserve">m     </v>
          </cell>
          <cell r="E99">
            <v>1200</v>
          </cell>
          <cell r="F99">
            <v>7.78</v>
          </cell>
          <cell r="G99">
            <v>9336</v>
          </cell>
        </row>
        <row r="100">
          <cell r="A100" t="str">
            <v>08.16</v>
          </cell>
          <cell r="B100">
            <v>60448</v>
          </cell>
          <cell r="C100" t="str">
            <v xml:space="preserve">DISJUNTOR MONOPOLAR DE 25 A    </v>
          </cell>
          <cell r="D100" t="str">
            <v xml:space="preserve">un    </v>
          </cell>
          <cell r="E100">
            <v>82</v>
          </cell>
          <cell r="F100">
            <v>11.74</v>
          </cell>
          <cell r="G100">
            <v>962.68</v>
          </cell>
        </row>
        <row r="101">
          <cell r="A101" t="str">
            <v>08.17</v>
          </cell>
          <cell r="B101">
            <v>60449</v>
          </cell>
          <cell r="C101" t="str">
            <v xml:space="preserve">DISJUNTOR MONOPOLAR DE 32 A    </v>
          </cell>
          <cell r="D101" t="str">
            <v xml:space="preserve">un    </v>
          </cell>
          <cell r="E101">
            <v>63</v>
          </cell>
          <cell r="F101">
            <v>17.3</v>
          </cell>
          <cell r="G101">
            <v>1089.9000000000001</v>
          </cell>
        </row>
        <row r="102">
          <cell r="A102" t="str">
            <v>08.18</v>
          </cell>
          <cell r="B102">
            <v>60429</v>
          </cell>
          <cell r="C102" t="str">
            <v>DISJUNTOR DIFERENCIAL DR 63A</v>
          </cell>
          <cell r="D102" t="str">
            <v xml:space="preserve">un    </v>
          </cell>
          <cell r="E102">
            <v>10</v>
          </cell>
          <cell r="F102">
            <v>258.36</v>
          </cell>
          <cell r="G102">
            <v>2583.6</v>
          </cell>
        </row>
        <row r="103">
          <cell r="A103" t="str">
            <v>08.19</v>
          </cell>
          <cell r="B103">
            <v>60428</v>
          </cell>
          <cell r="C103" t="str">
            <v>DISJUNTOR DIFERENCIAL DR 80A</v>
          </cell>
          <cell r="D103" t="str">
            <v xml:space="preserve">un    </v>
          </cell>
          <cell r="E103">
            <v>12</v>
          </cell>
          <cell r="F103">
            <v>258.36</v>
          </cell>
          <cell r="G103">
            <v>3100.32</v>
          </cell>
        </row>
        <row r="104">
          <cell r="A104" t="str">
            <v>08.20</v>
          </cell>
          <cell r="B104">
            <v>60455</v>
          </cell>
          <cell r="C104" t="str">
            <v xml:space="preserve">DISJUNTOR TRIPOLAR DE 63 A       </v>
          </cell>
          <cell r="D104" t="str">
            <v xml:space="preserve">un    </v>
          </cell>
          <cell r="E104">
            <v>15</v>
          </cell>
          <cell r="F104">
            <v>81.66</v>
          </cell>
          <cell r="G104">
            <v>1224.9000000000001</v>
          </cell>
        </row>
        <row r="105">
          <cell r="A105" t="str">
            <v>08.21</v>
          </cell>
          <cell r="B105">
            <v>60055</v>
          </cell>
          <cell r="C105" t="str">
            <v xml:space="preserve">DISJUNTOR TRIPOLAR DE 100 A    </v>
          </cell>
          <cell r="D105" t="str">
            <v xml:space="preserve">un    </v>
          </cell>
          <cell r="E105">
            <v>15</v>
          </cell>
          <cell r="F105">
            <v>235.16</v>
          </cell>
          <cell r="G105">
            <v>3527.4</v>
          </cell>
        </row>
        <row r="106">
          <cell r="A106" t="str">
            <v>08.22</v>
          </cell>
          <cell r="B106">
            <v>60255</v>
          </cell>
          <cell r="C106" t="str">
            <v>DISJUNTOR TRIPOLAR 125 A</v>
          </cell>
          <cell r="D106" t="str">
            <v xml:space="preserve">un    </v>
          </cell>
          <cell r="E106">
            <v>5</v>
          </cell>
          <cell r="F106">
            <v>296.58999999999997</v>
          </cell>
          <cell r="G106">
            <v>1482.95</v>
          </cell>
        </row>
        <row r="107">
          <cell r="A107" t="str">
            <v>08.23</v>
          </cell>
          <cell r="B107" t="str">
            <v>COMP-17</v>
          </cell>
          <cell r="C107" t="str">
            <v>LUMINARIA TIPO PLAFON 2X23 CORPO ALUM. QUAD.</v>
          </cell>
          <cell r="D107" t="str">
            <v xml:space="preserve">un    </v>
          </cell>
          <cell r="E107">
            <v>35</v>
          </cell>
          <cell r="F107">
            <v>139.41</v>
          </cell>
          <cell r="G107">
            <v>4879.3500000000004</v>
          </cell>
        </row>
        <row r="108">
          <cell r="A108" t="str">
            <v>08.24</v>
          </cell>
          <cell r="B108" t="str">
            <v>COMP-18</v>
          </cell>
          <cell r="C108" t="str">
            <v>LUMINARIA REFL/ALETA ALUM.AR EMBUTIR OU SOBREPOR 2X16/20W OU SIMILAR, COMPLETA</v>
          </cell>
          <cell r="D108" t="str">
            <v xml:space="preserve">un    </v>
          </cell>
          <cell r="E108">
            <v>42</v>
          </cell>
          <cell r="F108">
            <v>127.34</v>
          </cell>
          <cell r="G108">
            <v>5348.28</v>
          </cell>
        </row>
        <row r="109">
          <cell r="A109" t="str">
            <v>08.25</v>
          </cell>
          <cell r="B109" t="str">
            <v>COMP-19</v>
          </cell>
          <cell r="C109" t="str">
            <v>LUMINARIA REFL/ALETA ALUM.AR EMBUTIR OU SOBREPOR 4X16/20W OU SIMILAR, COMPLETA</v>
          </cell>
          <cell r="D109" t="str">
            <v xml:space="preserve">un    </v>
          </cell>
          <cell r="E109">
            <v>30</v>
          </cell>
          <cell r="F109">
            <v>214.47</v>
          </cell>
          <cell r="G109">
            <v>6434.1</v>
          </cell>
        </row>
        <row r="110">
          <cell r="A110" t="str">
            <v>08.26</v>
          </cell>
          <cell r="B110" t="str">
            <v>COMP-20</v>
          </cell>
          <cell r="C110" t="str">
            <v xml:space="preserve">LUMINARIA REFL/ALETA ALUM.AR EMBUTIR OU SOBREPOR 2X32/40W COMPLETA </v>
          </cell>
          <cell r="D110" t="str">
            <v xml:space="preserve">un    </v>
          </cell>
          <cell r="E110">
            <v>130</v>
          </cell>
          <cell r="F110">
            <v>132.57</v>
          </cell>
          <cell r="G110">
            <v>17234.099999999999</v>
          </cell>
        </row>
        <row r="111">
          <cell r="A111" t="str">
            <v>08.27</v>
          </cell>
          <cell r="B111" t="str">
            <v>COMP-21</v>
          </cell>
          <cell r="C111" t="str">
            <v xml:space="preserve">LUMINÁRIA  INDUSTRIAL RI 72 400W ACR   COM LAMPADA VAPOR MET.  400W HQITU E REATOR VAPOR SODIO  400W AFP </v>
          </cell>
          <cell r="D111" t="str">
            <v xml:space="preserve">un    </v>
          </cell>
          <cell r="E111">
            <v>166</v>
          </cell>
          <cell r="F111">
            <v>502.91</v>
          </cell>
          <cell r="G111">
            <v>83483.06</v>
          </cell>
        </row>
        <row r="112">
          <cell r="A112" t="str">
            <v>08.28</v>
          </cell>
          <cell r="B112">
            <v>60396</v>
          </cell>
          <cell r="C112" t="str">
            <v>LUMINÁRIA DE EMERGÊNCIA INC.  LÂMPADA  E BATERIA</v>
          </cell>
          <cell r="D112" t="str">
            <v xml:space="preserve">un    </v>
          </cell>
          <cell r="E112">
            <v>40</v>
          </cell>
          <cell r="F112">
            <v>42.59</v>
          </cell>
          <cell r="G112">
            <v>1703.6</v>
          </cell>
        </row>
        <row r="113">
          <cell r="A113" t="str">
            <v>08.29</v>
          </cell>
          <cell r="B113">
            <v>60122</v>
          </cell>
          <cell r="C113" t="str">
            <v>PONTO   CORRENTE   MONOFÁSICO   EMBUTIDO INCLUSIVE TOMADA 2P+T</v>
          </cell>
          <cell r="D113" t="str">
            <v xml:space="preserve">pt    </v>
          </cell>
          <cell r="E113">
            <v>154</v>
          </cell>
          <cell r="F113">
            <v>81.709999999999994</v>
          </cell>
          <cell r="G113">
            <v>12583.34</v>
          </cell>
        </row>
        <row r="114">
          <cell r="A114" t="str">
            <v>08.30</v>
          </cell>
          <cell r="B114">
            <v>60124</v>
          </cell>
          <cell r="C114" t="str">
            <v>PONTO   CORRENTE   TRIFÁSICO    EMBUTIDO INCLUSIVE TOMADA</v>
          </cell>
          <cell r="D114" t="str">
            <v xml:space="preserve">pt    </v>
          </cell>
          <cell r="E114">
            <v>61</v>
          </cell>
          <cell r="F114">
            <v>99.65</v>
          </cell>
          <cell r="G114">
            <v>6078.65</v>
          </cell>
        </row>
        <row r="115">
          <cell r="A115" t="str">
            <v>08.31</v>
          </cell>
          <cell r="B115">
            <v>60128</v>
          </cell>
          <cell r="C115" t="str">
            <v xml:space="preserve">PONTO LUZ EMBUTIDO                      </v>
          </cell>
          <cell r="D115" t="str">
            <v xml:space="preserve">pt    </v>
          </cell>
          <cell r="E115">
            <v>95</v>
          </cell>
          <cell r="F115">
            <v>63.94</v>
          </cell>
          <cell r="G115">
            <v>6074.3</v>
          </cell>
        </row>
        <row r="116">
          <cell r="A116" t="str">
            <v>08.32</v>
          </cell>
          <cell r="B116">
            <v>60322</v>
          </cell>
          <cell r="C116" t="str">
            <v>POSTE CONCRETO ARMADO SEÇÃO CIRCULAR COM 12,00m/600kg,  INCLUSIVE   FIXAÇÃO   COM CAMINHAO GUINDASTE</v>
          </cell>
          <cell r="D116" t="str">
            <v xml:space="preserve">un    </v>
          </cell>
          <cell r="E116">
            <v>4</v>
          </cell>
          <cell r="F116">
            <v>1625.56</v>
          </cell>
          <cell r="G116">
            <v>6502.24</v>
          </cell>
        </row>
        <row r="117">
          <cell r="A117" t="str">
            <v>08.33</v>
          </cell>
          <cell r="B117">
            <v>60324</v>
          </cell>
          <cell r="C117" t="str">
            <v>POSTE CONCRETO ARMADO SEÇÃO CIRCULAR COM 14,00m/200kg,  INCLUSIVE   FIXAÇÃO   COM CAMINHAO GUINDASTE</v>
          </cell>
          <cell r="D117" t="str">
            <v xml:space="preserve">un    </v>
          </cell>
          <cell r="E117">
            <v>10</v>
          </cell>
          <cell r="F117">
            <v>1650.23</v>
          </cell>
          <cell r="G117">
            <v>16502.3</v>
          </cell>
        </row>
        <row r="118">
          <cell r="A118" t="str">
            <v>08.34</v>
          </cell>
          <cell r="B118">
            <v>60138</v>
          </cell>
          <cell r="C118" t="str">
            <v>QUADRO   DISTRIBUIÇÃO   LUZ   E    FORÇA EMBUTIDO  PARA  13  A  18   DISJUNTORES, INCLUSIVE BARRAMENTOS</v>
          </cell>
          <cell r="D118" t="str">
            <v xml:space="preserve">un    </v>
          </cell>
          <cell r="E118">
            <v>4</v>
          </cell>
          <cell r="F118">
            <v>157.03</v>
          </cell>
          <cell r="G118">
            <v>628.12</v>
          </cell>
        </row>
        <row r="119">
          <cell r="A119" t="str">
            <v>08.35</v>
          </cell>
          <cell r="B119">
            <v>60213</v>
          </cell>
          <cell r="C119" t="str">
            <v>QUADRO   DISTRIBUIÇÃO   LUZ   E    FORÇA EMBUTIDO  PARA  19  A  24   DISJUNTORES, INCLUSIVE BARRAMENTOS</v>
          </cell>
          <cell r="D119" t="str">
            <v xml:space="preserve">un    </v>
          </cell>
          <cell r="E119">
            <v>5</v>
          </cell>
          <cell r="F119">
            <v>163.58000000000001</v>
          </cell>
          <cell r="G119">
            <v>817.9</v>
          </cell>
        </row>
        <row r="120">
          <cell r="A120" t="str">
            <v>08.36</v>
          </cell>
          <cell r="B120">
            <v>60146</v>
          </cell>
          <cell r="C120" t="str">
            <v>CAIXA  DE  TELEFONE  EM  CHAPA  DE   AÇO PADRÃO       TELEBRÁS       (40x40x12)cm</v>
          </cell>
          <cell r="D120" t="str">
            <v xml:space="preserve">un    </v>
          </cell>
          <cell r="E120">
            <v>2</v>
          </cell>
          <cell r="F120">
            <v>102.4</v>
          </cell>
          <cell r="G120">
            <v>204.8</v>
          </cell>
        </row>
        <row r="121">
          <cell r="A121" t="str">
            <v>08.37</v>
          </cell>
          <cell r="B121">
            <v>60147</v>
          </cell>
          <cell r="C121" t="str">
            <v>CAIXA  DE  TELEFONE  EM  CHAPA  DE   AÇO PADRÃO       TELEBRÁS       (60x60x12)cm</v>
          </cell>
          <cell r="D121" t="str">
            <v xml:space="preserve">un    </v>
          </cell>
          <cell r="E121">
            <v>2</v>
          </cell>
          <cell r="F121">
            <v>162.86000000000001</v>
          </cell>
          <cell r="G121">
            <v>325.72000000000003</v>
          </cell>
        </row>
        <row r="122">
          <cell r="A122" t="str">
            <v>08.38</v>
          </cell>
          <cell r="B122">
            <v>60148</v>
          </cell>
          <cell r="C122" t="str">
            <v>CAIXA  DE  TELEFONE  EM  CHAPA  DE   AÇO PADRÃO       TELEBRÁS       (80x80x12)cm</v>
          </cell>
          <cell r="D122" t="str">
            <v xml:space="preserve">un    </v>
          </cell>
          <cell r="E122">
            <v>2</v>
          </cell>
          <cell r="F122">
            <v>254.31</v>
          </cell>
          <cell r="G122">
            <v>508.62</v>
          </cell>
        </row>
        <row r="123">
          <cell r="A123" t="str">
            <v>08.39</v>
          </cell>
          <cell r="B123" t="str">
            <v>COMP-22</v>
          </cell>
          <cell r="C123" t="str">
            <v>CAIXA DE TELEFONE EM PVC 40x40CM, SEMAR OU SIMILIAR</v>
          </cell>
          <cell r="D123" t="str">
            <v xml:space="preserve">un    </v>
          </cell>
          <cell r="E123">
            <v>3</v>
          </cell>
          <cell r="F123">
            <v>100.4</v>
          </cell>
          <cell r="G123">
            <v>301.2</v>
          </cell>
        </row>
        <row r="124">
          <cell r="A124" t="str">
            <v>08.40</v>
          </cell>
          <cell r="B124">
            <v>60195</v>
          </cell>
          <cell r="C124" t="str">
            <v>CABO PARA INSTALAÇÃO TELEFÔNICA CI 50-10</v>
          </cell>
          <cell r="D124" t="str">
            <v xml:space="preserve">m     </v>
          </cell>
          <cell r="E124">
            <v>500</v>
          </cell>
          <cell r="F124">
            <v>3.7</v>
          </cell>
          <cell r="G124">
            <v>1850</v>
          </cell>
        </row>
        <row r="125">
          <cell r="A125" t="str">
            <v>08.41</v>
          </cell>
          <cell r="B125">
            <v>60196</v>
          </cell>
          <cell r="C125" t="str">
            <v>CABO  PARA  INSTALAÇÃO   TELEFÔNICA   CI 50-100</v>
          </cell>
          <cell r="D125" t="str">
            <v xml:space="preserve">m     </v>
          </cell>
          <cell r="E125">
            <v>430</v>
          </cell>
          <cell r="F125">
            <v>13.46</v>
          </cell>
          <cell r="G125">
            <v>5787.8</v>
          </cell>
        </row>
        <row r="126">
          <cell r="A126" t="str">
            <v>08.42</v>
          </cell>
          <cell r="B126">
            <v>60197</v>
          </cell>
          <cell r="C126" t="str">
            <v>CABO PARA INSTALAÇÃO LÓGICA 4  PARES  24 AWG</v>
          </cell>
          <cell r="D126" t="str">
            <v xml:space="preserve">m     </v>
          </cell>
          <cell r="E126">
            <v>680</v>
          </cell>
          <cell r="F126">
            <v>2.58</v>
          </cell>
          <cell r="G126">
            <v>1754.4</v>
          </cell>
        </row>
        <row r="127">
          <cell r="A127" t="str">
            <v>08.43</v>
          </cell>
          <cell r="B127">
            <v>60176</v>
          </cell>
          <cell r="C127" t="str">
            <v>CONJUNTO   ILUMINAÇÃO    EXTERNA    TIPO PÉTALA  COM  03  LUMINÁRIAS   C/LÂMPADAS VAPOR  DE  MERCÚRIO  DE  250  W,   POSTE CÔNICO EM CONCRETO ARMADO E FIAÇÃO ATÉ BASE</v>
          </cell>
          <cell r="D127" t="str">
            <v xml:space="preserve">un    </v>
          </cell>
          <cell r="E127">
            <v>8</v>
          </cell>
          <cell r="F127">
            <v>2818.57</v>
          </cell>
          <cell r="G127">
            <v>22548.560000000001</v>
          </cell>
        </row>
        <row r="128">
          <cell r="A128" t="str">
            <v>08.44</v>
          </cell>
          <cell r="B128">
            <v>60173</v>
          </cell>
          <cell r="C128" t="str">
            <v>CONJUNTO   ILUMINAÇÃO    EXTERNA    TIPO PÉTALA  COM  04  LUMINÁRIAS   C/LÂMPADAS VAPOR  DE  MERCÚRIO  DE  250  W,   POSTE CÔNICO EM CONCRETO ARMADO E FIAÇÃO ATÉ BASE</v>
          </cell>
          <cell r="D128" t="str">
            <v xml:space="preserve">un    </v>
          </cell>
          <cell r="E128">
            <v>8</v>
          </cell>
          <cell r="F128">
            <v>3138.56</v>
          </cell>
          <cell r="G128">
            <v>25108.48</v>
          </cell>
        </row>
        <row r="129">
          <cell r="A129" t="str">
            <v>08.45</v>
          </cell>
          <cell r="B129">
            <v>60174</v>
          </cell>
          <cell r="C129" t="str">
            <v>CONJUNTO   ILUMINAÇÃO    EXTERNA    TIPO PÉTALA  COM  02  LUMINÁRIAS   C/LÂMPADAS VAPOR  DE  MERCÚRIO  DE  250  W, PARA  POSTE E FIAÇÃO ATÉ BASE</v>
          </cell>
          <cell r="D129" t="str">
            <v xml:space="preserve">un    </v>
          </cell>
          <cell r="E129">
            <v>39</v>
          </cell>
          <cell r="F129">
            <v>2498.9</v>
          </cell>
          <cell r="G129">
            <v>97457.1</v>
          </cell>
        </row>
        <row r="130">
          <cell r="A130" t="str">
            <v>08.46</v>
          </cell>
          <cell r="B130">
            <v>60033</v>
          </cell>
          <cell r="C130" t="str">
            <v xml:space="preserve">CHAVE MAGNÉTICA COM CÉLULA FOTOELÉTRICA   </v>
          </cell>
          <cell r="D130" t="str">
            <v xml:space="preserve">un    </v>
          </cell>
          <cell r="E130">
            <v>55</v>
          </cell>
          <cell r="F130">
            <v>284.89999999999998</v>
          </cell>
          <cell r="G130">
            <v>15669.5</v>
          </cell>
        </row>
        <row r="131">
          <cell r="A131" t="str">
            <v>08.47</v>
          </cell>
          <cell r="B131">
            <v>60160</v>
          </cell>
          <cell r="C131" t="str">
            <v>REVISÃO    INSTALAÇÃO    ELÉTRICA    COM SUBSTITUIÇÃO DE FIAÇÃO</v>
          </cell>
          <cell r="D131" t="str">
            <v xml:space="preserve">pt    </v>
          </cell>
          <cell r="E131">
            <v>138</v>
          </cell>
          <cell r="F131">
            <v>52.55</v>
          </cell>
          <cell r="G131">
            <v>7251.9</v>
          </cell>
        </row>
        <row r="132">
          <cell r="A132" t="str">
            <v>09</v>
          </cell>
          <cell r="B132">
            <v>0</v>
          </cell>
          <cell r="C132" t="str">
            <v>INSTALAÇÕES HIDROSSANITÁRIAS</v>
          </cell>
          <cell r="D132">
            <v>0</v>
          </cell>
          <cell r="E132">
            <v>0</v>
          </cell>
          <cell r="F132">
            <v>0</v>
          </cell>
          <cell r="G132">
            <v>99939.48</v>
          </cell>
        </row>
        <row r="133">
          <cell r="A133" t="str">
            <v>09.1</v>
          </cell>
          <cell r="B133">
            <v>70200</v>
          </cell>
          <cell r="C133" t="str">
            <v>CAIXA  SIFONADA  PVC  RÍGIDO  100x100x50 mm, INCLUSI FIXAÇÃO</v>
          </cell>
          <cell r="D133" t="str">
            <v xml:space="preserve">un    </v>
          </cell>
          <cell r="E133">
            <v>28</v>
          </cell>
          <cell r="F133">
            <v>25.17</v>
          </cell>
          <cell r="G133">
            <v>704.76</v>
          </cell>
        </row>
        <row r="134">
          <cell r="A134" t="str">
            <v>09.2</v>
          </cell>
          <cell r="B134">
            <v>70028</v>
          </cell>
          <cell r="C134" t="str">
            <v>CAIXA  SIFONADA  PVC  RIGIDO  150x150x50 mm, INCLUSIVE FIXAÇÃO</v>
          </cell>
          <cell r="D134" t="str">
            <v xml:space="preserve">un    </v>
          </cell>
          <cell r="E134">
            <v>10</v>
          </cell>
          <cell r="F134">
            <v>29.67</v>
          </cell>
          <cell r="G134">
            <v>296.7</v>
          </cell>
        </row>
        <row r="135">
          <cell r="A135" t="str">
            <v>09.3</v>
          </cell>
          <cell r="B135">
            <v>70083</v>
          </cell>
          <cell r="C135" t="str">
            <v>REGISTRO DE GAVETA  BRUTO  25  mm  (1"), INCLUSIVE ADAPTADORES</v>
          </cell>
          <cell r="D135" t="str">
            <v xml:space="preserve">un    </v>
          </cell>
          <cell r="E135">
            <v>29</v>
          </cell>
          <cell r="F135">
            <v>45.17</v>
          </cell>
          <cell r="G135">
            <v>1309.93</v>
          </cell>
        </row>
        <row r="136">
          <cell r="A136" t="str">
            <v>09.4</v>
          </cell>
          <cell r="B136" t="str">
            <v>COMP-23</v>
          </cell>
          <cell r="C136" t="str">
            <v>VÁLVULA DE DESCARGA CROMADA ANTIVANDALISMO  DN  1  1/2" COM  ACABAMENTO,   INCLUSIVE   TUBO   DE DESCARGA PVC  VDE 38mm  COM  JOELHO  90° AZUL E ANEL DE VEDAÇAO</v>
          </cell>
          <cell r="D136" t="str">
            <v xml:space="preserve">un    </v>
          </cell>
          <cell r="E136">
            <v>41</v>
          </cell>
          <cell r="F136">
            <v>259.39999999999998</v>
          </cell>
          <cell r="G136">
            <v>10635.4</v>
          </cell>
        </row>
        <row r="137">
          <cell r="A137" t="str">
            <v>09.5</v>
          </cell>
          <cell r="B137">
            <v>70255</v>
          </cell>
          <cell r="C137" t="str">
            <v>BOMBA CENTRÍFUGA TRIFASICA, POTÊNCIA  DE 3CV-220//380V,   INCLUSIVE   QUADRO   DE COMANDO  COMPLETO  PARA  3CV,   MATERIAL PARA SUCÇÃO E RECALQUE</v>
          </cell>
          <cell r="D137" t="str">
            <v xml:space="preserve">cj    </v>
          </cell>
          <cell r="E137">
            <v>2</v>
          </cell>
          <cell r="F137">
            <v>2254.15</v>
          </cell>
          <cell r="G137">
            <v>4508.3</v>
          </cell>
        </row>
        <row r="138">
          <cell r="A138" t="str">
            <v>09.6</v>
          </cell>
          <cell r="B138">
            <v>70049</v>
          </cell>
          <cell r="C138" t="str">
            <v>FOSSA SÉPTICA  EM  ALVENARIA  DE  TIJOLO CERAMICO,   ARGAMASSA   DE   CIMENTO   E AREIA,   TRAÇO    1:4,    ESP.=20    cm, DIMENSOES DE 1,40x0,70x1,40m,  PARA  ATE 05 PESSOAS, CAP.=1.078 L</v>
          </cell>
          <cell r="D138" t="str">
            <v xml:space="preserve">un    </v>
          </cell>
          <cell r="E138">
            <v>1</v>
          </cell>
          <cell r="F138">
            <v>942.73</v>
          </cell>
          <cell r="G138">
            <v>942.73</v>
          </cell>
        </row>
        <row r="139">
          <cell r="A139" t="str">
            <v>09.7</v>
          </cell>
          <cell r="B139">
            <v>70116</v>
          </cell>
          <cell r="C139" t="str">
            <v>SUMIDOURO   EM   ALVENARIA   DE   TIJOLO CERAMICO  EM  CRIVO  (FUROS   LATERAIS), ARGAMASSA  DE  CIMENTO  E  AREIA,  TRAÇO 1:4, ESP.=20   cm,  Ø=1,30m  -  H=2,60m, PARA ATE 05 PESSOAS</v>
          </cell>
          <cell r="D139" t="str">
            <v xml:space="preserve">un    </v>
          </cell>
          <cell r="E139">
            <v>1</v>
          </cell>
          <cell r="F139">
            <v>1598.46</v>
          </cell>
          <cell r="G139">
            <v>1598.46</v>
          </cell>
        </row>
        <row r="140">
          <cell r="A140" t="str">
            <v>09.8</v>
          </cell>
          <cell r="B140">
            <v>70044</v>
          </cell>
          <cell r="C140" t="str">
            <v>ESGOTAMENTO   DE   FOSSA   SEPTICA   COM CAMINHÃO  LIMPA   FOSSAS   AUTO   VÁCUO, INCLUSIVE LIMPEZA</v>
          </cell>
          <cell r="D140" t="str">
            <v xml:space="preserve">car   </v>
          </cell>
          <cell r="E140">
            <v>3</v>
          </cell>
          <cell r="F140">
            <v>208.36</v>
          </cell>
          <cell r="G140">
            <v>625.08000000000004</v>
          </cell>
        </row>
        <row r="141">
          <cell r="A141" t="str">
            <v>09.9</v>
          </cell>
          <cell r="B141">
            <v>70165</v>
          </cell>
          <cell r="C141" t="str">
            <v>TUBULAÇÃO  PVC  SOLDÁVEL   RÍGIDO   PARA ESGOTO, SERIE NORMAL,  DIÂMETRO  100  mm</v>
          </cell>
          <cell r="D141" t="str">
            <v xml:space="preserve">m     </v>
          </cell>
          <cell r="E141">
            <v>240</v>
          </cell>
          <cell r="F141">
            <v>16.34</v>
          </cell>
          <cell r="G141">
            <v>3921.6</v>
          </cell>
        </row>
        <row r="142">
          <cell r="A142" t="str">
            <v>09.10</v>
          </cell>
          <cell r="B142">
            <v>70158</v>
          </cell>
          <cell r="C142" t="str">
            <v>TUBULAÇÃO  PVC  SOLDÁVEL   RÍGIDO   PARA ÁGUA FRIA, DIÂMETRO 25 mm</v>
          </cell>
          <cell r="D142" t="str">
            <v xml:space="preserve">m     </v>
          </cell>
          <cell r="E142">
            <v>108</v>
          </cell>
          <cell r="F142">
            <v>3.9</v>
          </cell>
          <cell r="G142">
            <v>421.2</v>
          </cell>
        </row>
        <row r="143">
          <cell r="A143" t="str">
            <v>09.11</v>
          </cell>
          <cell r="B143">
            <v>70159</v>
          </cell>
          <cell r="C143" t="str">
            <v>TUBULAÇÃO  PVC  SOLDÁVEL   RÍGIDO   PARA ÁGUA FRIA, DIÂMETRO 32 mm</v>
          </cell>
          <cell r="D143" t="str">
            <v xml:space="preserve">m     </v>
          </cell>
          <cell r="E143">
            <v>145</v>
          </cell>
          <cell r="F143">
            <v>6.34</v>
          </cell>
          <cell r="G143">
            <v>919.3</v>
          </cell>
        </row>
        <row r="144">
          <cell r="A144" t="str">
            <v>09.12</v>
          </cell>
          <cell r="B144">
            <v>70160</v>
          </cell>
          <cell r="C144" t="str">
            <v>TUBULAÇÃO  PVC  SOLDÁVEL   RÍGIDO   PARA ÁGUA FRIA, DIÂMETRO 40 mm</v>
          </cell>
          <cell r="D144" t="str">
            <v xml:space="preserve">m     </v>
          </cell>
          <cell r="E144">
            <v>120</v>
          </cell>
          <cell r="F144">
            <v>11.68</v>
          </cell>
          <cell r="G144">
            <v>1401.6</v>
          </cell>
        </row>
        <row r="145">
          <cell r="A145" t="str">
            <v>09.13</v>
          </cell>
          <cell r="B145">
            <v>70161</v>
          </cell>
          <cell r="C145" t="str">
            <v>TUBULAÇÃO  PVC  SOLDÁVEL   RÍGIDO   PARA ÁGUA FRIA, DIÂMETRO 50 mm</v>
          </cell>
          <cell r="D145" t="str">
            <v xml:space="preserve">m     </v>
          </cell>
          <cell r="E145">
            <v>156</v>
          </cell>
          <cell r="F145">
            <v>12.06</v>
          </cell>
          <cell r="G145">
            <v>1881.36</v>
          </cell>
        </row>
        <row r="146">
          <cell r="A146" t="str">
            <v>09.14</v>
          </cell>
          <cell r="B146">
            <v>70162</v>
          </cell>
          <cell r="C146" t="str">
            <v>TUBULAÇÃO  PVC  SOLDÁVEL   RÍGIDO   PARA ÁGUA FRIA, DIÂMETRO 60 mm</v>
          </cell>
          <cell r="D146" t="str">
            <v xml:space="preserve">m     </v>
          </cell>
          <cell r="E146">
            <v>30</v>
          </cell>
          <cell r="F146">
            <v>17.690000000000001</v>
          </cell>
          <cell r="G146">
            <v>530.70000000000005</v>
          </cell>
        </row>
        <row r="147">
          <cell r="A147" t="str">
            <v>09.15</v>
          </cell>
          <cell r="B147">
            <v>70163</v>
          </cell>
          <cell r="C147" t="str">
            <v>TUBULAÇÃO  PVC  SOLDÁVEL   RÍGIDO   PARA ÁGUA FRIA, DIÂMETRO 75 mm</v>
          </cell>
          <cell r="D147" t="str">
            <v xml:space="preserve">m     </v>
          </cell>
          <cell r="E147">
            <v>72</v>
          </cell>
          <cell r="F147">
            <v>26.64</v>
          </cell>
          <cell r="G147">
            <v>1918.08</v>
          </cell>
        </row>
        <row r="148">
          <cell r="A148" t="str">
            <v>09.16</v>
          </cell>
          <cell r="B148">
            <v>70071</v>
          </cell>
          <cell r="C148" t="str">
            <v>PONTO  ÁGUA  TUBULAÇÃO  Ø  25   mm   PVC SOLDÁVEL       INCLUSIVE        CONEXÕES</v>
          </cell>
          <cell r="D148" t="str">
            <v xml:space="preserve">pt    </v>
          </cell>
          <cell r="E148">
            <v>86</v>
          </cell>
          <cell r="F148">
            <v>60.32</v>
          </cell>
          <cell r="G148">
            <v>5187.5200000000004</v>
          </cell>
        </row>
        <row r="149">
          <cell r="A149" t="str">
            <v>09.17</v>
          </cell>
          <cell r="B149">
            <v>70072</v>
          </cell>
          <cell r="C149" t="str">
            <v>PONTO  ÁGUA  TUBULAÇÃO  Ø  32   mm   PVC SOLDÁVEL       INCLUSIVE        CONEXÕES</v>
          </cell>
          <cell r="D149" t="str">
            <v xml:space="preserve">pt    </v>
          </cell>
          <cell r="E149">
            <v>12</v>
          </cell>
          <cell r="F149">
            <v>75.489999999999995</v>
          </cell>
          <cell r="G149">
            <v>905.88</v>
          </cell>
        </row>
        <row r="150">
          <cell r="A150" t="str">
            <v>09.18</v>
          </cell>
          <cell r="B150">
            <v>70073</v>
          </cell>
          <cell r="C150" t="str">
            <v>PONTO  ÁGUA  TUBULAÇÃO  Ø  50   mm   PVC SOLDÁVEL       INCLUSIVE        CONEXÕES</v>
          </cell>
          <cell r="D150" t="str">
            <v xml:space="preserve">pt    </v>
          </cell>
          <cell r="E150">
            <v>41</v>
          </cell>
          <cell r="F150">
            <v>95.05</v>
          </cell>
          <cell r="G150">
            <v>3897.05</v>
          </cell>
        </row>
        <row r="151">
          <cell r="A151" t="str">
            <v>09.19</v>
          </cell>
          <cell r="B151">
            <v>70076</v>
          </cell>
          <cell r="C151" t="str">
            <v>PONTO  ESGOTO  TUBULAÇÃO  Ø  40  mm  PVC SOLDÁVEL       INCLUSIVE        CONEXÕES</v>
          </cell>
          <cell r="D151" t="str">
            <v xml:space="preserve">pt    </v>
          </cell>
          <cell r="E151">
            <v>45</v>
          </cell>
          <cell r="F151">
            <v>57.42</v>
          </cell>
          <cell r="G151">
            <v>2583.9</v>
          </cell>
        </row>
        <row r="152">
          <cell r="A152" t="str">
            <v>09.20</v>
          </cell>
          <cell r="B152">
            <v>70077</v>
          </cell>
          <cell r="C152" t="str">
            <v>PONTO  ESGOTO  TUBULAÇÃO  Ø  50  mm  PVC SOLDÁVEL       INCLUSIVE        CONEXÕES</v>
          </cell>
          <cell r="D152" t="str">
            <v xml:space="preserve">pt    </v>
          </cell>
          <cell r="E152">
            <v>40</v>
          </cell>
          <cell r="F152">
            <v>67.97</v>
          </cell>
          <cell r="G152">
            <v>2718.8</v>
          </cell>
        </row>
        <row r="153">
          <cell r="A153" t="str">
            <v>09.21</v>
          </cell>
          <cell r="B153">
            <v>70078</v>
          </cell>
          <cell r="C153" t="str">
            <v>PONTO  ESGOTO  TUBULAÇÃO  Ø  75  mm  PVC SOLDÁVEL       INCLUSIVE        CONEXÕES</v>
          </cell>
          <cell r="D153" t="str">
            <v xml:space="preserve">pt    </v>
          </cell>
          <cell r="E153">
            <v>10</v>
          </cell>
          <cell r="F153">
            <v>78.930000000000007</v>
          </cell>
          <cell r="G153">
            <v>789.3</v>
          </cell>
        </row>
        <row r="154">
          <cell r="A154" t="str">
            <v>09.22</v>
          </cell>
          <cell r="B154">
            <v>70075</v>
          </cell>
          <cell r="C154" t="str">
            <v>PONTO ESGOTO  TUBULAÇÃO  Ø  100  mm  PVC SOLDÁVEL       INCLUSIVE        CONEXÕES</v>
          </cell>
          <cell r="D154" t="str">
            <v xml:space="preserve">pt    </v>
          </cell>
          <cell r="E154">
            <v>41</v>
          </cell>
          <cell r="F154">
            <v>87.24</v>
          </cell>
          <cell r="G154">
            <v>3576.84</v>
          </cell>
        </row>
        <row r="155">
          <cell r="A155" t="str">
            <v>09.23</v>
          </cell>
          <cell r="B155">
            <v>70143</v>
          </cell>
          <cell r="C155" t="str">
            <v>PONTO DE DRENO TUBULAÇÃO  Ø  25  mm  PVC SOLDÁVEL      PARA      AR-CONDICIONADO, INCLUSIVE CONEXÕES</v>
          </cell>
          <cell r="D155" t="str">
            <v xml:space="preserve">pt    </v>
          </cell>
          <cell r="E155">
            <v>60</v>
          </cell>
          <cell r="F155">
            <v>72.8</v>
          </cell>
          <cell r="G155">
            <v>4368</v>
          </cell>
        </row>
        <row r="156">
          <cell r="A156" t="str">
            <v>09.24</v>
          </cell>
          <cell r="B156">
            <v>70106</v>
          </cell>
          <cell r="C156" t="str">
            <v xml:space="preserve">REVISÃO EM PONTO ÁGUA OU ESGOTO         </v>
          </cell>
          <cell r="D156" t="str">
            <v xml:space="preserve">pt    </v>
          </cell>
          <cell r="E156">
            <v>20</v>
          </cell>
          <cell r="F156">
            <v>22.15</v>
          </cell>
          <cell r="G156">
            <v>443</v>
          </cell>
        </row>
        <row r="157">
          <cell r="A157" t="str">
            <v>09.25</v>
          </cell>
          <cell r="B157">
            <v>70239</v>
          </cell>
          <cell r="C157" t="str">
            <v>BARRA  DE  APOIO  RETA,  80cm,  Ø  32mm, AÇO INOX AISI  304,  ACABAMENTO  POLIDO, PARA  PNE  (Portadores  de  Necessidades Especiais)</v>
          </cell>
          <cell r="D157" t="str">
            <v xml:space="preserve">un    </v>
          </cell>
          <cell r="E157">
            <v>28</v>
          </cell>
          <cell r="F157">
            <v>153.66999999999999</v>
          </cell>
          <cell r="G157">
            <v>4302.76</v>
          </cell>
        </row>
        <row r="158">
          <cell r="A158" t="str">
            <v>09.26</v>
          </cell>
          <cell r="B158">
            <v>70011</v>
          </cell>
          <cell r="C158" t="str">
            <v>BACIA  SANITÁRIA   SIFONADA   EM   LOUÇA BRANCA OU COR,  PADRÃO  LUXO,  INCLUSIVE ASSENTO    PLASTICO     E     ACESSÓRIOS</v>
          </cell>
          <cell r="D158" t="str">
            <v xml:space="preserve">cj    </v>
          </cell>
          <cell r="E158">
            <v>41</v>
          </cell>
          <cell r="F158">
            <v>209.7</v>
          </cell>
          <cell r="G158">
            <v>8597.7000000000007</v>
          </cell>
        </row>
        <row r="159">
          <cell r="A159" t="str">
            <v>09.27</v>
          </cell>
          <cell r="B159">
            <v>70056</v>
          </cell>
          <cell r="C159" t="str">
            <v>LAVATÓRIO  DE  LOUÇA  BRANCA  BRANCA DE EMBUTIR,  INCLUSIVE  ACESSÓRIOS PLÁSTICOS</v>
          </cell>
          <cell r="D159" t="str">
            <v xml:space="preserve">cj    </v>
          </cell>
          <cell r="E159">
            <v>14</v>
          </cell>
          <cell r="F159">
            <v>101.33</v>
          </cell>
          <cell r="G159">
            <v>1418.62</v>
          </cell>
        </row>
        <row r="160">
          <cell r="A160" t="str">
            <v>09.28</v>
          </cell>
          <cell r="B160">
            <v>70057</v>
          </cell>
          <cell r="C160" t="str">
            <v>LAVATÓRIO  DE  LOUÇA  BRANCA   SOBREPOR, INCLUSIVE      ACESSÓRIOS      PLÁSTICOS</v>
          </cell>
          <cell r="D160" t="str">
            <v xml:space="preserve">cj    </v>
          </cell>
          <cell r="E160">
            <v>22</v>
          </cell>
          <cell r="F160">
            <v>107.08</v>
          </cell>
          <cell r="G160">
            <v>2355.7600000000002</v>
          </cell>
        </row>
        <row r="161">
          <cell r="A161" t="str">
            <v>09.29</v>
          </cell>
          <cell r="B161">
            <v>70062</v>
          </cell>
          <cell r="C161" t="str">
            <v>MICTÓRIO  DE  LOUÇA  BRANCA  COM   SIFAO INTEGRADO,    INCLUSIVE    VALVULA    DE MICTORIO   DE   1/2",   COM   FECHAMENTO AUTOMATICO</v>
          </cell>
          <cell r="D161" t="str">
            <v xml:space="preserve">cj    </v>
          </cell>
          <cell r="E161">
            <v>12</v>
          </cell>
          <cell r="F161">
            <v>311.82</v>
          </cell>
          <cell r="G161">
            <v>3741.84</v>
          </cell>
        </row>
        <row r="162">
          <cell r="A162" t="str">
            <v>09.30</v>
          </cell>
          <cell r="B162" t="str">
            <v>COMP-24</v>
          </cell>
          <cell r="C162" t="str">
            <v>CUBA EM AÇO  INOX 304,  DE  SEMI-ENCAIXE QUADRADA 40 x 50 x 24 cm,  INCLUSIVE  VALVULA  E   SIFAO</v>
          </cell>
          <cell r="D162" t="str">
            <v xml:space="preserve">un    </v>
          </cell>
          <cell r="E162">
            <v>6</v>
          </cell>
          <cell r="F162">
            <v>536.39</v>
          </cell>
          <cell r="G162">
            <v>3218.34</v>
          </cell>
        </row>
        <row r="163">
          <cell r="A163" t="str">
            <v>09.31</v>
          </cell>
          <cell r="B163">
            <v>70243</v>
          </cell>
          <cell r="C163" t="str">
            <v>TANQUE EM AÇO INOX,  INCLUSIVE,  VÁLVULA E SIFÃO PLÁSTICOS</v>
          </cell>
          <cell r="D163" t="str">
            <v xml:space="preserve">un    </v>
          </cell>
          <cell r="E163">
            <v>3</v>
          </cell>
          <cell r="F163">
            <v>329.37</v>
          </cell>
          <cell r="G163">
            <v>988.11</v>
          </cell>
        </row>
        <row r="164">
          <cell r="A164" t="str">
            <v>09.32</v>
          </cell>
          <cell r="B164" t="str">
            <v>COMP-25</v>
          </cell>
          <cell r="C164" t="str">
            <v xml:space="preserve">BANCADA EM GRANITO CINZA, ACABAMENTO POLIDO; COM FRONTISPÍCIO DE 20 CM E RESPALDO DE 15 CM,  ESPESSURA  2 CM
</v>
          </cell>
          <cell r="D164" t="str">
            <v xml:space="preserve">m2    </v>
          </cell>
          <cell r="E164">
            <v>70.489999999999995</v>
          </cell>
          <cell r="F164">
            <v>252.27</v>
          </cell>
          <cell r="G164">
            <v>17782.509999999998</v>
          </cell>
        </row>
        <row r="165">
          <cell r="A165" t="str">
            <v>09.33</v>
          </cell>
          <cell r="B165" t="str">
            <v>COMP-26</v>
          </cell>
          <cell r="C165" t="str">
            <v xml:space="preserve">BANCADA EM GRANITO VERDE UBATUBA, ACABAMENTO POLIDO,  ESPESSURA  2 CM
</v>
          </cell>
          <cell r="D165" t="str">
            <v xml:space="preserve">m2    </v>
          </cell>
          <cell r="E165">
            <v>5.39</v>
          </cell>
          <cell r="F165">
            <v>268.70999999999998</v>
          </cell>
          <cell r="G165">
            <v>1448.35</v>
          </cell>
        </row>
        <row r="166">
          <cell r="A166" t="str">
            <v>09.34</v>
          </cell>
          <cell r="B166">
            <v>70129</v>
          </cell>
          <cell r="C166" t="str">
            <v>TORNEIRA    PRESSÃO     CROMADA     PARA LAVATÓRIO DE 1/2"  DECA  OU  EQUIVALENTE</v>
          </cell>
          <cell r="D166" t="str">
            <v xml:space="preserve">un    </v>
          </cell>
          <cell r="E166">
            <v>36</v>
          </cell>
          <cell r="F166">
            <v>92.53</v>
          </cell>
          <cell r="G166">
            <v>3331.08</v>
          </cell>
        </row>
        <row r="167">
          <cell r="A167" t="str">
            <v>10</v>
          </cell>
          <cell r="B167">
            <v>0</v>
          </cell>
          <cell r="C167" t="str">
            <v>INSTALAÇÕES DE COMBATE CONTRA INCÊNDIO</v>
          </cell>
          <cell r="D167">
            <v>0</v>
          </cell>
          <cell r="E167">
            <v>0</v>
          </cell>
          <cell r="F167">
            <v>0</v>
          </cell>
          <cell r="G167">
            <v>40254.820000000007</v>
          </cell>
        </row>
        <row r="168">
          <cell r="A168" t="str">
            <v>10.1</v>
          </cell>
          <cell r="B168">
            <v>140001</v>
          </cell>
          <cell r="C168" t="str">
            <v>ABRIGO PARA  HIDRANTE  INTERNO  METÁLICO DE EMBUTIR 60x90x17cm, PORTA  COM  VISOR E ALETAS  DE  VENTILAÇÃO,  01  LANCE  DE MANGUEIRA COM ENGATE  STORZ  2  1/2"x30m E ESGUICHO DE LATÃO  COM  ENGATE  RÁPIDO 2 1/2", INCLUSIVE ASSENTAMENTO</v>
          </cell>
          <cell r="D168" t="str">
            <v xml:space="preserve">cj    </v>
          </cell>
          <cell r="E168">
            <v>16</v>
          </cell>
          <cell r="F168">
            <v>1415.47</v>
          </cell>
          <cell r="G168">
            <v>22647.52</v>
          </cell>
        </row>
        <row r="169">
          <cell r="A169" t="str">
            <v>10.2</v>
          </cell>
          <cell r="B169">
            <v>140002</v>
          </cell>
          <cell r="C169" t="str">
            <v>EXTINTOR DE ÁGUA PRESSURIZADA  (APL)  DE 10 L</v>
          </cell>
          <cell r="D169" t="str">
            <v xml:space="preserve">un    </v>
          </cell>
          <cell r="E169">
            <v>20</v>
          </cell>
          <cell r="F169">
            <v>106.41</v>
          </cell>
          <cell r="G169">
            <v>2128.1999999999998</v>
          </cell>
        </row>
        <row r="170">
          <cell r="A170" t="str">
            <v>10.3</v>
          </cell>
          <cell r="B170">
            <v>140003</v>
          </cell>
          <cell r="C170" t="str">
            <v xml:space="preserve">EXTINTOR DE GÁS CARBÔNICO COM 6 kg      </v>
          </cell>
          <cell r="D170" t="str">
            <v xml:space="preserve">un    </v>
          </cell>
          <cell r="E170">
            <v>20</v>
          </cell>
          <cell r="F170">
            <v>386.41</v>
          </cell>
          <cell r="G170">
            <v>7728.2</v>
          </cell>
        </row>
        <row r="171">
          <cell r="A171" t="str">
            <v>10.4</v>
          </cell>
          <cell r="B171">
            <v>140042</v>
          </cell>
          <cell r="C171" t="str">
            <v>TUBO EM ACO  GALVANIZADO  COM   COSTURA, D=65Mmm (2 1/2")</v>
          </cell>
          <cell r="D171" t="str">
            <v xml:space="preserve">m     </v>
          </cell>
          <cell r="E171">
            <v>72</v>
          </cell>
          <cell r="F171">
            <v>55.68</v>
          </cell>
          <cell r="G171">
            <v>4008.96</v>
          </cell>
        </row>
        <row r="172">
          <cell r="A172" t="str">
            <v>10.5</v>
          </cell>
          <cell r="B172">
            <v>140030</v>
          </cell>
          <cell r="C172" t="str">
            <v>REGISTRO DE GAVETA BRUTO D=65mm (2 1/2")</v>
          </cell>
          <cell r="D172" t="str">
            <v xml:space="preserve">un    </v>
          </cell>
          <cell r="E172">
            <v>16</v>
          </cell>
          <cell r="F172">
            <v>191.83</v>
          </cell>
          <cell r="G172">
            <v>3069.28</v>
          </cell>
        </row>
        <row r="173">
          <cell r="A173" t="str">
            <v>10.6</v>
          </cell>
          <cell r="B173">
            <v>140013</v>
          </cell>
          <cell r="C173" t="str">
            <v>VÁLVULA  DE   RETENÇÃO   HORIZONTAL   EM BRONZE COM  PORTINHOLA,  D=65mm  (21/2")</v>
          </cell>
          <cell r="D173" t="str">
            <v xml:space="preserve">un    </v>
          </cell>
          <cell r="E173">
            <v>3</v>
          </cell>
          <cell r="F173">
            <v>224.22</v>
          </cell>
          <cell r="G173">
            <v>672.66</v>
          </cell>
        </row>
        <row r="174">
          <cell r="A174" t="str">
            <v>11</v>
          </cell>
          <cell r="B174">
            <v>0</v>
          </cell>
          <cell r="C174" t="str">
            <v>INSTALAÇÃO DE AR-CONDICIONADO</v>
          </cell>
          <cell r="D174">
            <v>0</v>
          </cell>
          <cell r="E174">
            <v>0</v>
          </cell>
          <cell r="F174">
            <v>0</v>
          </cell>
          <cell r="G174">
            <v>164560</v>
          </cell>
        </row>
        <row r="175">
          <cell r="A175" t="str">
            <v>11.1</v>
          </cell>
          <cell r="B175">
            <v>60234</v>
          </cell>
          <cell r="C175" t="str">
            <v>SPLIT SYSTEM TIPO  HIWALL  COM  CONTROLE REMOTO,  CAPACIDADE   DE   9.000   BTU´S (FORNECIMENTO       E        INSTALAÇÃO)</v>
          </cell>
          <cell r="D175" t="str">
            <v xml:space="preserve">un    </v>
          </cell>
          <cell r="E175">
            <v>14</v>
          </cell>
          <cell r="F175">
            <v>1700</v>
          </cell>
          <cell r="G175">
            <v>23800</v>
          </cell>
        </row>
        <row r="176">
          <cell r="A176" t="str">
            <v>11.2</v>
          </cell>
          <cell r="B176">
            <v>60223</v>
          </cell>
          <cell r="C176" t="str">
            <v>SPLIT SYSTEM TIPO  HIWALL  COM  CONTROLE REMOTO,  CAPACIDADE  DE   12.000   BTU´S (FORNECIMENTO)</v>
          </cell>
          <cell r="D176" t="str">
            <v xml:space="preserve">un    </v>
          </cell>
          <cell r="E176">
            <v>12</v>
          </cell>
          <cell r="F176">
            <v>1800</v>
          </cell>
          <cell r="G176">
            <v>21600</v>
          </cell>
        </row>
        <row r="177">
          <cell r="A177" t="str">
            <v>11.3</v>
          </cell>
          <cell r="B177">
            <v>60233</v>
          </cell>
          <cell r="C177" t="str">
            <v>SPLIT SYSTEM TIPO  HIWALL  COM  CONTROLE REMOTO,  CAPACIDADE  DE   18.000   BTU´S (FORNECIMENTO)</v>
          </cell>
          <cell r="D177" t="str">
            <v xml:space="preserve">un    </v>
          </cell>
          <cell r="E177">
            <v>22</v>
          </cell>
          <cell r="F177">
            <v>2580</v>
          </cell>
          <cell r="G177">
            <v>56760</v>
          </cell>
        </row>
        <row r="178">
          <cell r="A178" t="str">
            <v>11.4</v>
          </cell>
          <cell r="B178">
            <v>60232</v>
          </cell>
          <cell r="C178" t="str">
            <v>SPLIT SYSTEM TIPO CASSETE  COM  CONTROLE REMOTO,  CAPACIDADE  DE   24.000   BTU´S (FORNECIMENTO)</v>
          </cell>
          <cell r="D178" t="str">
            <v xml:space="preserve">un    </v>
          </cell>
          <cell r="E178">
            <v>12</v>
          </cell>
          <cell r="F178">
            <v>5200</v>
          </cell>
          <cell r="G178">
            <v>62400</v>
          </cell>
        </row>
        <row r="179">
          <cell r="A179" t="str">
            <v>12</v>
          </cell>
          <cell r="B179">
            <v>0</v>
          </cell>
          <cell r="C179" t="str">
            <v>REVESTIMENTOS</v>
          </cell>
          <cell r="D179">
            <v>0</v>
          </cell>
          <cell r="E179">
            <v>0</v>
          </cell>
          <cell r="F179">
            <v>0</v>
          </cell>
          <cell r="G179">
            <v>355617.36</v>
          </cell>
        </row>
        <row r="180">
          <cell r="A180" t="str">
            <v>12.1</v>
          </cell>
          <cell r="B180">
            <v>100009</v>
          </cell>
          <cell r="C180" t="str">
            <v>CHAPISCO  EM  PAREDE  COM  ARGAMASSA  DE CIMENTO  E  AREIA  GROSSA,  TRAÇO   1:3, ESPESSURA DE 5 mm</v>
          </cell>
          <cell r="D180" t="str">
            <v xml:space="preserve">m2    </v>
          </cell>
          <cell r="E180">
            <v>5125.3500000000004</v>
          </cell>
          <cell r="F180">
            <v>2.99</v>
          </cell>
          <cell r="G180">
            <v>15324.8</v>
          </cell>
        </row>
        <row r="181">
          <cell r="A181" t="str">
            <v>12.2</v>
          </cell>
          <cell r="B181">
            <v>100008</v>
          </cell>
          <cell r="C181" t="str">
            <v>CHAPISCO  EM  LAJE  COM   ARGAMASSA   DE CIMENTO  E  AREIA  GROSSA,  TRAÇO   1:3, ESPESSURA DE 5 mm</v>
          </cell>
          <cell r="D181" t="str">
            <v xml:space="preserve">m2    </v>
          </cell>
          <cell r="E181">
            <v>528.59</v>
          </cell>
          <cell r="F181">
            <v>5.63</v>
          </cell>
          <cell r="G181">
            <v>2975.96</v>
          </cell>
        </row>
        <row r="182">
          <cell r="A182" t="str">
            <v>12.3</v>
          </cell>
          <cell r="B182">
            <v>100107</v>
          </cell>
          <cell r="C182" t="str">
            <v>EMBOÇO    EMPREGANDO    ARGAMASSA     DE CIMENTO, CAL HIDRATADA  E  AREIA  MÉDIA, TRAÇO   1:2:6,   ESPESSURA   DE   2   cm</v>
          </cell>
          <cell r="D182" t="str">
            <v xml:space="preserve">m2    </v>
          </cell>
          <cell r="E182">
            <v>2615.56</v>
          </cell>
          <cell r="F182">
            <v>14.2</v>
          </cell>
          <cell r="G182">
            <v>37140.949999999997</v>
          </cell>
        </row>
        <row r="183">
          <cell r="A183" t="str">
            <v>12.4</v>
          </cell>
          <cell r="B183">
            <v>100104</v>
          </cell>
          <cell r="C183" t="str">
            <v>REBOCO  EM  PAREDE  COM   ARGAMASSA   DE CIMENTO, CAL HIDRATADA  E  AREIA  MÉDIA, TRAÇO   1:2:6,   ESPESSURA   DE   2   cm</v>
          </cell>
          <cell r="D183" t="str">
            <v xml:space="preserve">m2    </v>
          </cell>
          <cell r="E183">
            <v>2509.79</v>
          </cell>
          <cell r="F183">
            <v>16.47</v>
          </cell>
          <cell r="G183">
            <v>41336.239999999998</v>
          </cell>
        </row>
        <row r="184">
          <cell r="A184" t="str">
            <v>12.5</v>
          </cell>
          <cell r="B184">
            <v>100101</v>
          </cell>
          <cell r="C184" t="str">
            <v>REBOCO  EM   LAJE   COM   ARGAMASSA   DE CIMENTO, CAL HIDRATADA  E  AREIA  MÉDIA, TRAÇO1:2:6,   ESPESSURA   DE   2,5    cm</v>
          </cell>
          <cell r="D184" t="str">
            <v xml:space="preserve">m2    </v>
          </cell>
          <cell r="E184">
            <v>528.59</v>
          </cell>
          <cell r="F184">
            <v>21.1</v>
          </cell>
          <cell r="G184">
            <v>11153.25</v>
          </cell>
        </row>
        <row r="185">
          <cell r="A185" t="str">
            <v>12.6</v>
          </cell>
          <cell r="B185">
            <v>100129</v>
          </cell>
          <cell r="C185" t="str">
            <v>CAPIAÇO  COM  ARGAMASSA  DE  CIMENTO   E AREIA  MEDIA,  TRAÇO  1:3,  LARG=10cm  E ESPESSURA DE 2 cm</v>
          </cell>
          <cell r="D185" t="str">
            <v xml:space="preserve">m     </v>
          </cell>
          <cell r="E185">
            <v>232</v>
          </cell>
          <cell r="F185">
            <v>16.32</v>
          </cell>
          <cell r="G185">
            <v>3786.24</v>
          </cell>
        </row>
        <row r="186">
          <cell r="A186" t="str">
            <v>12.7</v>
          </cell>
          <cell r="B186">
            <v>100168</v>
          </cell>
          <cell r="C186" t="str">
            <v>REVESTIMENTO  DE  PAREDES  COM  CERAMICA ESMALTADA  10x10cm,   PEI-4,   ASSENTADA COM   ARGAMASSA   COLANTE   E   REJUNTE, EXCLUSIVE EMBOÇO</v>
          </cell>
          <cell r="D186" t="str">
            <v xml:space="preserve">m2    </v>
          </cell>
          <cell r="E186">
            <v>823.63</v>
          </cell>
          <cell r="F186">
            <v>39.44</v>
          </cell>
          <cell r="G186">
            <v>32483.97</v>
          </cell>
        </row>
        <row r="187">
          <cell r="A187" t="str">
            <v>12.8</v>
          </cell>
          <cell r="B187" t="str">
            <v>COMP-27</v>
          </cell>
          <cell r="C187" t="str">
            <v>REVESTIMENTO  DE  PAREDES   EM   GRANITO CINZA,  40 X 40CM EMPREGANDO  ARGAMASSA  DE CIMENTO,  CAL  HIDRATADA   E   A   AREIA MEDIA, TRACO 1:1:4, INCLUSIVE REJUNTE</v>
          </cell>
          <cell r="D187" t="str">
            <v xml:space="preserve">m2    </v>
          </cell>
          <cell r="E187">
            <v>145.56</v>
          </cell>
          <cell r="F187">
            <v>179.23999999999998</v>
          </cell>
          <cell r="G187">
            <v>26090.17</v>
          </cell>
        </row>
        <row r="188">
          <cell r="A188" t="str">
            <v>12.9</v>
          </cell>
          <cell r="B188" t="str">
            <v>COMP-28</v>
          </cell>
          <cell r="C188" t="str">
            <v>CAIXA DE PORTA  EM   GRANITO CINZA,  EMPREGANDO  ARGAMASSA  DE CIMENTO,  CAL  HIDRATADA   E   A   AREIA MEDIA, TRACO 1:1:4, INCLUSIVE REJUNTE</v>
          </cell>
          <cell r="D188" t="str">
            <v xml:space="preserve">m2    </v>
          </cell>
          <cell r="E188">
            <v>64.010000000000005</v>
          </cell>
          <cell r="F188">
            <v>174.64</v>
          </cell>
          <cell r="G188">
            <v>11178.71</v>
          </cell>
        </row>
        <row r="189">
          <cell r="A189" t="str">
            <v>12.10</v>
          </cell>
          <cell r="B189" t="str">
            <v>COMP-29</v>
          </cell>
          <cell r="C189" t="str">
            <v>BORDER EM GRANITO CINZA COM 15CM DE ALTURA E 2CM DE ESPESSURA,EMPREGANDO  ARGAMASSA  DE CIMENTO,  CAL  HIDRATADA   E   A   AREIA MEDIA, TRACO 1:1:4, INCLUSIVE REJUNTE</v>
          </cell>
          <cell r="D189" t="str">
            <v>m2</v>
          </cell>
          <cell r="E189">
            <v>18.649999999999999</v>
          </cell>
          <cell r="F189">
            <v>174.64</v>
          </cell>
          <cell r="G189">
            <v>3257.04</v>
          </cell>
        </row>
        <row r="190">
          <cell r="A190" t="str">
            <v>12.11</v>
          </cell>
          <cell r="B190" t="str">
            <v>COMP-30</v>
          </cell>
          <cell r="C190" t="str">
            <v>PASTILHA DE VIDRO RESINADA: TAMANHO 2,5 CM X 2,5 CM CARAMELO</v>
          </cell>
          <cell r="D190" t="str">
            <v>m2</v>
          </cell>
          <cell r="E190">
            <v>381.2</v>
          </cell>
          <cell r="F190">
            <v>103.87</v>
          </cell>
          <cell r="G190">
            <v>39595.24</v>
          </cell>
        </row>
        <row r="191">
          <cell r="A191" t="str">
            <v>12.12</v>
          </cell>
          <cell r="B191" t="str">
            <v>COMP-31</v>
          </cell>
          <cell r="C191" t="str">
            <v>PASTILHA DE VIDRO RESINADA: TAMANHO 2,5 CM X 2,5 CM ROSA, ASSENTADA  COM   ARGAMASSA   COLANTE   E REJUNTE</v>
          </cell>
          <cell r="D191" t="str">
            <v>m2</v>
          </cell>
          <cell r="E191">
            <v>212.84</v>
          </cell>
          <cell r="F191">
            <v>103.87</v>
          </cell>
          <cell r="G191">
            <v>22107.69</v>
          </cell>
        </row>
        <row r="192">
          <cell r="A192" t="str">
            <v>12.13</v>
          </cell>
          <cell r="B192" t="str">
            <v>COMP-32</v>
          </cell>
          <cell r="C192" t="str">
            <v>PASTILHA DE VIDRO RESINADA: TAMANHO 2,5 CM X 2,5 CM ROXA ASSENTADA  COM   ARGAMASSA   COLANTE   E REJUNTE</v>
          </cell>
          <cell r="D192" t="str">
            <v>m2</v>
          </cell>
          <cell r="E192">
            <v>167.06</v>
          </cell>
          <cell r="F192">
            <v>103.87</v>
          </cell>
          <cell r="G192">
            <v>17352.52</v>
          </cell>
        </row>
        <row r="193">
          <cell r="A193" t="str">
            <v>12.14</v>
          </cell>
          <cell r="B193" t="str">
            <v>COMP-33</v>
          </cell>
          <cell r="C193" t="str">
            <v>PASTILHA DE VIDRO RESINADA: TAMANHO 2,5 CM X 2,5 CM MENTA  ASSENTADA  COM   ARGAMASSA   COLANTE   E REJUNTE</v>
          </cell>
          <cell r="D193" t="str">
            <v>m2</v>
          </cell>
          <cell r="E193">
            <v>534</v>
          </cell>
          <cell r="F193">
            <v>103.87</v>
          </cell>
          <cell r="G193">
            <v>55466.58</v>
          </cell>
        </row>
        <row r="194">
          <cell r="A194" t="str">
            <v>12.15</v>
          </cell>
          <cell r="B194" t="str">
            <v>COMP-34</v>
          </cell>
          <cell r="C194" t="str">
            <v>PASTILHA DE VIDRO RESINADA: TAMANHO 2,5 CM X 2,5 CM MISCELÂNIA  ASSENTADA  COM   ARGAMASSA   COLANTE   E REJUNTE</v>
          </cell>
          <cell r="D194" t="str">
            <v>m2</v>
          </cell>
          <cell r="E194">
            <v>309.05</v>
          </cell>
          <cell r="F194">
            <v>103.87</v>
          </cell>
          <cell r="G194">
            <v>32101.02</v>
          </cell>
        </row>
        <row r="195">
          <cell r="A195" t="str">
            <v>12.16</v>
          </cell>
          <cell r="B195" t="str">
            <v>COMP-35</v>
          </cell>
          <cell r="C195">
            <v>0</v>
          </cell>
          <cell r="D195" t="str">
            <v>m2</v>
          </cell>
          <cell r="E195">
            <v>41.08</v>
          </cell>
          <cell r="F195">
            <v>103.87</v>
          </cell>
          <cell r="G195">
            <v>4266.9799999999996</v>
          </cell>
        </row>
        <row r="196">
          <cell r="A196" t="str">
            <v>13</v>
          </cell>
          <cell r="B196">
            <v>0</v>
          </cell>
          <cell r="C196" t="str">
            <v>IMPERMEABILIZAÇÃO</v>
          </cell>
          <cell r="D196">
            <v>0</v>
          </cell>
          <cell r="E196">
            <v>0</v>
          </cell>
          <cell r="F196">
            <v>0</v>
          </cell>
          <cell r="G196">
            <v>45250.409999999996</v>
          </cell>
        </row>
        <row r="197">
          <cell r="A197" t="str">
            <v>13.1</v>
          </cell>
          <cell r="B197">
            <v>100200</v>
          </cell>
          <cell r="C197" t="str">
            <v>IMPERMEABILIZAÇÃO  COM  MANTA  ASFALTICA 4mm,  ESTRUDADA,  COM  REFORÇO  DE   NÃO TECIDO    DE    POLIESTER,     INCLUSIVE APLICAÇÃO DE 01 DEMÃO DE PRIMER</v>
          </cell>
          <cell r="D197" t="str">
            <v xml:space="preserve">m2    </v>
          </cell>
          <cell r="E197">
            <v>996.48</v>
          </cell>
          <cell r="F197">
            <v>40.81</v>
          </cell>
          <cell r="G197">
            <v>40666.35</v>
          </cell>
        </row>
        <row r="198">
          <cell r="A198" t="str">
            <v>13.2</v>
          </cell>
          <cell r="B198" t="str">
            <v>COMP-36</v>
          </cell>
          <cell r="C198" t="str">
            <v>IMPERMEABILIZAÇÃO  INTERNA  DE PISOS DE ÁREA MOLHADA COM   ARGAMASSA POLIMERICA E APLICAÇÃO DE MANTA ASFALTICA NAS TUBULAÇÕES</v>
          </cell>
          <cell r="D198" t="str">
            <v xml:space="preserve">m2    </v>
          </cell>
          <cell r="E198">
            <v>188.8</v>
          </cell>
          <cell r="F198">
            <v>24.28</v>
          </cell>
          <cell r="G198">
            <v>4584.0600000000004</v>
          </cell>
        </row>
        <row r="199">
          <cell r="A199" t="str">
            <v>14</v>
          </cell>
          <cell r="B199">
            <v>0</v>
          </cell>
          <cell r="C199" t="str">
            <v>PAVIMENTAÇÃO</v>
          </cell>
          <cell r="D199">
            <v>0</v>
          </cell>
          <cell r="E199">
            <v>0</v>
          </cell>
          <cell r="F199">
            <v>0</v>
          </cell>
          <cell r="G199">
            <v>2259357.25</v>
          </cell>
        </row>
        <row r="200">
          <cell r="A200" t="str">
            <v>14.1</v>
          </cell>
          <cell r="B200">
            <v>100017</v>
          </cell>
          <cell r="C200" t="str">
            <v>CONTRAPISO    EM    CONCRETO    SIMPLES, FCK=13,5  MPa,   ESPESSURA   DE   5   cm</v>
          </cell>
          <cell r="D200" t="str">
            <v xml:space="preserve">m2    </v>
          </cell>
          <cell r="E200">
            <v>5648.06</v>
          </cell>
          <cell r="F200">
            <v>22.21</v>
          </cell>
          <cell r="G200">
            <v>125443.41</v>
          </cell>
        </row>
        <row r="201">
          <cell r="A201" t="str">
            <v>14.2</v>
          </cell>
          <cell r="B201" t="str">
            <v>COMP-37</v>
          </cell>
          <cell r="C201" t="str">
            <v>PISO   EM    GRANITO    CINZA 40x40cm, ESP.=2cm,   ASSENTADO   COM    ARGAMASSA COLANTE DUPLA COLAGEM, INCLUSIVE REJUNTE</v>
          </cell>
          <cell r="D201" t="str">
            <v xml:space="preserve">m2    </v>
          </cell>
          <cell r="E201">
            <v>464</v>
          </cell>
          <cell r="F201">
            <v>178.82</v>
          </cell>
          <cell r="G201">
            <v>82972.479999999996</v>
          </cell>
        </row>
        <row r="202">
          <cell r="A202" t="str">
            <v>14.3</v>
          </cell>
          <cell r="B202">
            <v>100059</v>
          </cell>
          <cell r="C202" t="str">
            <v>PISO EM PLACA DE BORRACHA ANTI-DERRAPANTE,          500x500x3,5mm, INCLUSIVE   BASE    DE    REGULARIZAÇÃO, ARGAMASSA DE  CIMENTO  E  AREIA  GROSSA, TRAÇO 1:3, ESP.=3cm</v>
          </cell>
          <cell r="D202" t="str">
            <v xml:space="preserve">m2    </v>
          </cell>
          <cell r="E202">
            <v>40.22</v>
          </cell>
          <cell r="F202">
            <v>60.8</v>
          </cell>
          <cell r="G202">
            <v>2445.38</v>
          </cell>
        </row>
        <row r="203">
          <cell r="A203" t="str">
            <v>14.4</v>
          </cell>
          <cell r="B203">
            <v>100058</v>
          </cell>
          <cell r="C203" t="str">
            <v>PISO   DE    ALTA    RESISTÊNCIA    TIPO GRANILITE NATURAL,  ESP.=8mm,  INCLUSIVE JUNTA  PLASTICA,  GRANA,   POLIMENTO   E BASE DE REGULARIZAÇÃO</v>
          </cell>
          <cell r="D203" t="str">
            <v xml:space="preserve">m2    </v>
          </cell>
          <cell r="E203">
            <v>3346.97</v>
          </cell>
          <cell r="F203">
            <v>35.56</v>
          </cell>
          <cell r="G203">
            <v>119018.25</v>
          </cell>
        </row>
        <row r="204">
          <cell r="A204" t="str">
            <v>14.5</v>
          </cell>
          <cell r="B204" t="str">
            <v>COMP-38</v>
          </cell>
          <cell r="C204" t="str">
            <v>PISO    RÚSTICO    (CASCALHINHO),     EM CONCRETO,   ESP.=2   cm, SOBRE REGULARIZAÇÃO DE ARGAMASSA E JUNTA  DE  DILATAÇÃO  EM  MADEIRA IPÊ</v>
          </cell>
          <cell r="D204" t="str">
            <v xml:space="preserve">m2    </v>
          </cell>
          <cell r="E204">
            <v>18</v>
          </cell>
          <cell r="F204">
            <v>23.88</v>
          </cell>
          <cell r="G204">
            <v>429.84</v>
          </cell>
        </row>
        <row r="205">
          <cell r="A205" t="str">
            <v>14.6</v>
          </cell>
          <cell r="B205" t="str">
            <v>COMP-39</v>
          </cell>
          <cell r="C205" t="str">
            <v>PISO  TÁTIL  DE  ALERTA   30x30cm   PARA PESSOAS   PORTADORAS   DE   NECESSIDADES ESPECIAIS,   ASSENTADO   COM   ARGAMASSA COLANTE,     INCLUSIVE      BASE      DE REGULARIZAÇÃO, TRAÇO 1:3, ESP.=3 cm</v>
          </cell>
          <cell r="D205" t="str">
            <v xml:space="preserve">m2    </v>
          </cell>
          <cell r="E205">
            <v>1778.87</v>
          </cell>
          <cell r="F205">
            <v>56.32</v>
          </cell>
          <cell r="G205">
            <v>100185.96</v>
          </cell>
        </row>
        <row r="206">
          <cell r="A206" t="str">
            <v>14.7</v>
          </cell>
          <cell r="B206" t="str">
            <v>COMP-40</v>
          </cell>
          <cell r="C206" t="str">
            <v>PISO   EM    GRANITO    VERDE UBATUBA, ESP.=2cm,   ASSENTADO   COM    ARGAMASSA COLANTE DUPLA COLAGEM, INCLUSIVE REJUNTE</v>
          </cell>
          <cell r="D206" t="str">
            <v xml:space="preserve">m2    </v>
          </cell>
          <cell r="E206">
            <v>19.25</v>
          </cell>
          <cell r="F206">
            <v>276.97000000000003</v>
          </cell>
          <cell r="G206">
            <v>5331.67</v>
          </cell>
        </row>
        <row r="207">
          <cell r="A207" t="str">
            <v>14.8</v>
          </cell>
          <cell r="B207">
            <v>110022</v>
          </cell>
          <cell r="C207" t="str">
            <v>MEIO  FIO  PRÉ-FABRICADO   DE   CONCRETO FCK=15 MPa</v>
          </cell>
          <cell r="D207" t="str">
            <v xml:space="preserve">m     </v>
          </cell>
          <cell r="E207">
            <v>10576</v>
          </cell>
          <cell r="F207">
            <v>21.22</v>
          </cell>
          <cell r="G207">
            <v>224422.72</v>
          </cell>
        </row>
        <row r="208">
          <cell r="A208" t="str">
            <v>14.9</v>
          </cell>
          <cell r="B208">
            <v>110026</v>
          </cell>
          <cell r="C208" t="str">
            <v>COLCHÃO  DE  AREIA   PARA   PAVIMENTAÇÃO TUBULAÇÃO,   ESPESSURA    DE    20    cm</v>
          </cell>
          <cell r="D208" t="str">
            <v>m3</v>
          </cell>
          <cell r="E208">
            <v>5784.8</v>
          </cell>
          <cell r="F208">
            <v>61.8</v>
          </cell>
          <cell r="G208">
            <v>357500.64</v>
          </cell>
        </row>
        <row r="209">
          <cell r="A209" t="str">
            <v>14.10</v>
          </cell>
          <cell r="B209" t="str">
            <v>COMP-41</v>
          </cell>
          <cell r="C209" t="str">
            <v>FORNECIMENTO E ASSENT. DE PARALELEPÍPEDO   EM    PEDRA    CALCÁRIA</v>
          </cell>
          <cell r="D209" t="str">
            <v>m2</v>
          </cell>
          <cell r="E209">
            <v>19566</v>
          </cell>
          <cell r="F209">
            <v>14.15</v>
          </cell>
          <cell r="G209">
            <v>276858.90000000002</v>
          </cell>
        </row>
        <row r="210">
          <cell r="A210" t="str">
            <v>14.11</v>
          </cell>
          <cell r="B210" t="str">
            <v>COMP-42</v>
          </cell>
          <cell r="C210" t="str">
            <v>ASSENTAMENTO DE PARALELEPÍPEDO REAPROVEITADO</v>
          </cell>
          <cell r="D210" t="str">
            <v>m2</v>
          </cell>
          <cell r="E210">
            <v>9358</v>
          </cell>
          <cell r="F210">
            <v>8.15</v>
          </cell>
          <cell r="G210">
            <v>76267.7</v>
          </cell>
        </row>
        <row r="211">
          <cell r="A211" t="str">
            <v>14.12</v>
          </cell>
          <cell r="B211" t="str">
            <v>COMP-43</v>
          </cell>
          <cell r="C211" t="str">
            <v>REJUNTAMENTO COM BRITA, CASCALHINHO E EMULSÃO ASFÁLTICA</v>
          </cell>
          <cell r="D211" t="str">
            <v>m2</v>
          </cell>
          <cell r="E211">
            <v>28924</v>
          </cell>
          <cell r="F211">
            <v>22.27</v>
          </cell>
          <cell r="G211">
            <v>644137.48</v>
          </cell>
        </row>
        <row r="212">
          <cell r="A212" t="str">
            <v>14.13</v>
          </cell>
          <cell r="B212" t="str">
            <v>COMP-44</v>
          </cell>
          <cell r="C212" t="str">
            <v>BLOCO DE CONCRETO, TIPO TIJOLINHO, TAM. 10X20, COR CERÂMICA SOBRE  COLCHÃO   DE   AREIA,    6CM, FCK 35MPA</v>
          </cell>
          <cell r="D212" t="str">
            <v xml:space="preserve">m2    </v>
          </cell>
          <cell r="E212">
            <v>257</v>
          </cell>
          <cell r="F212">
            <v>45.94</v>
          </cell>
          <cell r="G212">
            <v>11806.58</v>
          </cell>
        </row>
        <row r="213">
          <cell r="A213" t="str">
            <v>14.14</v>
          </cell>
          <cell r="B213" t="str">
            <v>COMP-45</v>
          </cell>
          <cell r="C213" t="str">
            <v>BLOCO DE CONCRETO, TIPO TIJOLINHO, TAM. 10X20, COR CERÂMICA SOBRE  COLCHÃO   DE   AREIA,    4,5CM, FCK 25MPA</v>
          </cell>
          <cell r="D213" t="str">
            <v xml:space="preserve">m2    </v>
          </cell>
          <cell r="E213">
            <v>6861.5</v>
          </cell>
          <cell r="F213">
            <v>33.89</v>
          </cell>
          <cell r="G213">
            <v>232536.24</v>
          </cell>
        </row>
        <row r="214">
          <cell r="A214" t="str">
            <v>15</v>
          </cell>
          <cell r="B214">
            <v>0</v>
          </cell>
          <cell r="C214" t="str">
            <v xml:space="preserve">RODAPÉS, SOLEIRAS E PEITORÍS                           </v>
          </cell>
          <cell r="D214">
            <v>0</v>
          </cell>
          <cell r="E214">
            <v>0</v>
          </cell>
          <cell r="F214">
            <v>0</v>
          </cell>
          <cell r="G214">
            <v>62016.87</v>
          </cell>
        </row>
        <row r="215">
          <cell r="A215" t="str">
            <v>15.1</v>
          </cell>
          <cell r="B215" t="str">
            <v>COMP-46</v>
          </cell>
          <cell r="C215" t="str">
            <v>RODAPÉ   EM GRANITO VERDE UBATUBA, ACABAMENTO POLIDO, COM 15 CM DE ALTURA E 2 CM DE ESPESSURA</v>
          </cell>
          <cell r="D215" t="str">
            <v xml:space="preserve">m     </v>
          </cell>
          <cell r="E215">
            <v>1576.32</v>
          </cell>
          <cell r="F215">
            <v>37.89</v>
          </cell>
          <cell r="G215">
            <v>59726.76</v>
          </cell>
        </row>
        <row r="216">
          <cell r="A216" t="str">
            <v>15.2</v>
          </cell>
          <cell r="B216">
            <v>100113</v>
          </cell>
          <cell r="C216" t="str">
            <v>SOLEIRA  DE  GRANITO  CINZA   ANDORINHA, LARG.=15cm, ESP.=2 cm</v>
          </cell>
          <cell r="D216" t="str">
            <v xml:space="preserve">m     </v>
          </cell>
          <cell r="E216">
            <v>56.7</v>
          </cell>
          <cell r="F216">
            <v>40.39</v>
          </cell>
          <cell r="G216">
            <v>2290.11</v>
          </cell>
        </row>
        <row r="217">
          <cell r="A217" t="str">
            <v>16</v>
          </cell>
          <cell r="B217">
            <v>0</v>
          </cell>
          <cell r="C217" t="str">
            <v>ESQUADRIAS</v>
          </cell>
          <cell r="D217">
            <v>0</v>
          </cell>
          <cell r="E217">
            <v>0</v>
          </cell>
          <cell r="F217">
            <v>0</v>
          </cell>
          <cell r="G217">
            <v>568838.59</v>
          </cell>
        </row>
        <row r="218">
          <cell r="A218" t="str">
            <v>16.1</v>
          </cell>
          <cell r="B218">
            <v>90123</v>
          </cell>
          <cell r="C218" t="str">
            <v>MOLA  HIDRÁULICA  PARA  PORTA  DE  VIDRO TEMPERADO  (FORNECIMENTO  E  INSTALAÇÃO)</v>
          </cell>
          <cell r="D218" t="str">
            <v xml:space="preserve">un    </v>
          </cell>
          <cell r="E218">
            <v>37</v>
          </cell>
          <cell r="F218">
            <v>596</v>
          </cell>
          <cell r="G218">
            <v>22052</v>
          </cell>
        </row>
        <row r="219">
          <cell r="A219" t="str">
            <v>16.2</v>
          </cell>
          <cell r="B219">
            <v>90127</v>
          </cell>
          <cell r="C219" t="str">
            <v>PORTA EM MDF  ESP.=15mm,  REVESTIDA  NAS 02   FACES   COM   LAMINADO   MELAMÍNICO TEXTURIZADO,    ESP.=1.3mm,    EXCLUSIVE FERRAGENS</v>
          </cell>
          <cell r="D219" t="str">
            <v xml:space="preserve">m2    </v>
          </cell>
          <cell r="E219">
            <v>35.28</v>
          </cell>
          <cell r="F219">
            <v>129.29</v>
          </cell>
          <cell r="G219">
            <v>4561.3500000000004</v>
          </cell>
        </row>
        <row r="220">
          <cell r="A220" t="str">
            <v>16.3</v>
          </cell>
          <cell r="B220">
            <v>90105</v>
          </cell>
          <cell r="C220" t="str">
            <v>PORTA  EM   VIDRO   TEMPERADO   INCOLOR, E=10mm,    COM    BANDEIRA,    INCLUSIVE FERRAGENS E FIXAÇÃO</v>
          </cell>
          <cell r="D220" t="str">
            <v xml:space="preserve">m2    </v>
          </cell>
          <cell r="E220">
            <v>38.479999999999997</v>
          </cell>
          <cell r="F220">
            <v>499.36</v>
          </cell>
          <cell r="G220">
            <v>19215.37</v>
          </cell>
        </row>
        <row r="221">
          <cell r="A221" t="str">
            <v>16.4</v>
          </cell>
          <cell r="B221">
            <v>90053</v>
          </cell>
          <cell r="C221" t="str">
            <v>PORTA  DE  AÇO  EM  CHAPA  ONDULADA   OU GRADE   DE   ENROLAR    COM    FERRAGENS</v>
          </cell>
          <cell r="D221" t="str">
            <v xml:space="preserve">m2    </v>
          </cell>
          <cell r="E221">
            <v>32.619999999999997</v>
          </cell>
          <cell r="F221">
            <v>258.42</v>
          </cell>
          <cell r="G221">
            <v>8429.66</v>
          </cell>
        </row>
        <row r="222">
          <cell r="A222" t="str">
            <v>16.5</v>
          </cell>
          <cell r="B222" t="str">
            <v>COMP-47</v>
          </cell>
          <cell r="C222">
            <v>0</v>
          </cell>
          <cell r="D222" t="str">
            <v xml:space="preserve">m     </v>
          </cell>
          <cell r="E222">
            <v>94.37</v>
          </cell>
          <cell r="F222">
            <v>1030</v>
          </cell>
          <cell r="G222">
            <v>97201.1</v>
          </cell>
        </row>
        <row r="223">
          <cell r="A223" t="str">
            <v>16.6</v>
          </cell>
          <cell r="B223" t="str">
            <v>COMP-48</v>
          </cell>
          <cell r="C223" t="str">
            <v>CORRIMÃO    EM    TUBO   DE     AÇO INOX COM ACABAMENTO ESCOVADO SEÇÃO QUADRADA 2"x2", COM VIDRO TEMPERADO LAMINADO 4+4mm COM PVB (CORES E DETALHES CONFORME PROJETO), E CORRIMÃO EM AÇO INOXIDAVEL  Ø  40mm  (FORNECIMENTO E FIXAÇÃO)</v>
          </cell>
          <cell r="D223" t="str">
            <v xml:space="preserve">m     </v>
          </cell>
          <cell r="E223">
            <v>190.56</v>
          </cell>
          <cell r="F223">
            <v>1030</v>
          </cell>
          <cell r="G223">
            <v>196276.8</v>
          </cell>
        </row>
        <row r="224">
          <cell r="A224" t="str">
            <v>16.7</v>
          </cell>
          <cell r="B224" t="str">
            <v>COMP-49</v>
          </cell>
          <cell r="C224" t="str">
            <v>BRISE EM ALUMÍNIO, PERFIL PARA FOLHA FIXA (TAM. 15 CM X 2, CM X 125 CM), LINHA VERT, REFERÊNCIA  LU 037, MARCA ALCOA OU SIMILAR, COR BRANCA.</v>
          </cell>
          <cell r="D224" t="str">
            <v>m2</v>
          </cell>
          <cell r="E224">
            <v>108.8</v>
          </cell>
          <cell r="F224">
            <v>290</v>
          </cell>
          <cell r="G224">
            <v>31552</v>
          </cell>
        </row>
        <row r="225">
          <cell r="A225" t="str">
            <v>16.8</v>
          </cell>
          <cell r="B225" t="str">
            <v>COMP-50</v>
          </cell>
          <cell r="C225" t="str">
            <v>PORTA DE GIRO SISTEMA INOVA, EM ALUMÍNIO COM PINTURA ELETROSTÁTICA NA COR BRANCA, E PAINÉIS DE VIDRO LAMINADO 3+3mm COM PVB INCOLOR, INCLUSIVE FIXAÇÃO</v>
          </cell>
          <cell r="D225" t="str">
            <v xml:space="preserve">m2    </v>
          </cell>
          <cell r="E225">
            <v>65.72</v>
          </cell>
          <cell r="F225">
            <v>600</v>
          </cell>
          <cell r="G225">
            <v>39432</v>
          </cell>
        </row>
        <row r="226">
          <cell r="A226" t="str">
            <v>16.9</v>
          </cell>
          <cell r="B226" t="str">
            <v>COMP-51</v>
          </cell>
          <cell r="C226" t="str">
            <v>PORTA DE CORRER SISTEMA INOVA, EM ALUMÍNIO COM PINTURA ELETROSTÁTICA NA COR BRANCA, E PAINÉIS DE VIDRO LAMINADO 3+3mm COM PVB INCOLOR, INCLUSIVE FIXAÇÃO</v>
          </cell>
          <cell r="D226" t="str">
            <v xml:space="preserve">m2    </v>
          </cell>
          <cell r="E226">
            <v>59.96</v>
          </cell>
          <cell r="F226">
            <v>600</v>
          </cell>
          <cell r="G226">
            <v>35976</v>
          </cell>
        </row>
        <row r="227">
          <cell r="A227" t="str">
            <v>16.10</v>
          </cell>
          <cell r="B227" t="str">
            <v>COMP-52</v>
          </cell>
          <cell r="C227" t="str">
            <v>PORTA DE CORRER EM VIDRO LAMINADO 3+3mm COM PVB INCOLOR, INCLUSIVE FIXAÇÃO</v>
          </cell>
          <cell r="D227" t="str">
            <v xml:space="preserve">m2    </v>
          </cell>
          <cell r="E227">
            <v>7.35</v>
          </cell>
          <cell r="F227">
            <v>550</v>
          </cell>
          <cell r="G227">
            <v>4042.5</v>
          </cell>
        </row>
        <row r="228">
          <cell r="A228" t="str">
            <v>16.11</v>
          </cell>
          <cell r="B228" t="str">
            <v>COMP-53</v>
          </cell>
          <cell r="C228" t="str">
            <v>PORTA DE GIRO COM VIDRO TEMPERADO ESP.=10mm COM PVC LEITOSO NA COR BRANCA</v>
          </cell>
          <cell r="D228" t="str">
            <v xml:space="preserve">m2    </v>
          </cell>
          <cell r="E228">
            <v>14.4</v>
          </cell>
          <cell r="F228">
            <v>480</v>
          </cell>
          <cell r="G228">
            <v>6912</v>
          </cell>
        </row>
        <row r="229">
          <cell r="A229" t="str">
            <v>16.12</v>
          </cell>
          <cell r="B229" t="str">
            <v>COMP-54</v>
          </cell>
          <cell r="C229" t="str">
            <v>GRADIL EM ALUMÍNIO ANODIZADO NATURAL</v>
          </cell>
          <cell r="D229" t="str">
            <v xml:space="preserve">m2    </v>
          </cell>
          <cell r="E229">
            <v>4.51</v>
          </cell>
          <cell r="F229">
            <v>266</v>
          </cell>
          <cell r="G229">
            <v>1199.6600000000001</v>
          </cell>
        </row>
        <row r="230">
          <cell r="A230" t="str">
            <v>16.13</v>
          </cell>
          <cell r="B230" t="str">
            <v>COMP-55</v>
          </cell>
          <cell r="C230" t="str">
            <v>JANELA DE CORRER SISTEMA INOVA, EM ALUMÍNIO COM PINTURA ELETROSTÁTICA NA COR BRANCA, E PAINÉIS DE VIDRO LAMINADO 3+3mm COM PVB INCOLOR, INCLUSIVE FIXAÇÃO</v>
          </cell>
          <cell r="D230" t="str">
            <v xml:space="preserve">m2    </v>
          </cell>
          <cell r="E230">
            <v>140.88999999999999</v>
          </cell>
          <cell r="F230">
            <v>600</v>
          </cell>
          <cell r="G230">
            <v>84534</v>
          </cell>
        </row>
        <row r="231">
          <cell r="A231" t="str">
            <v>16.14</v>
          </cell>
          <cell r="B231" t="str">
            <v>COMP-56</v>
          </cell>
          <cell r="C231" t="str">
            <v>VISOR FIXO CIRCULAR EM VIDRO TEMPERADO 10mm INCOLOR</v>
          </cell>
          <cell r="D231" t="str">
            <v xml:space="preserve">m2    </v>
          </cell>
          <cell r="E231">
            <v>28.75</v>
          </cell>
          <cell r="F231">
            <v>392</v>
          </cell>
          <cell r="G231">
            <v>11270</v>
          </cell>
        </row>
        <row r="232">
          <cell r="A232" t="str">
            <v>16.15</v>
          </cell>
          <cell r="B232" t="str">
            <v>COMP-57</v>
          </cell>
          <cell r="C232" t="str">
            <v>PORTÃO DE GIRO EM ALUMINIO ANODIZADO NATURAL</v>
          </cell>
          <cell r="D232" t="str">
            <v xml:space="preserve">m2    </v>
          </cell>
          <cell r="E232">
            <v>21.12</v>
          </cell>
          <cell r="F232">
            <v>292.81</v>
          </cell>
          <cell r="G232">
            <v>6184.15</v>
          </cell>
        </row>
        <row r="233">
          <cell r="A233" t="str">
            <v>17</v>
          </cell>
          <cell r="B233">
            <v>0</v>
          </cell>
          <cell r="C233" t="str">
            <v>PINTURA</v>
          </cell>
          <cell r="D233">
            <v>0</v>
          </cell>
          <cell r="E233">
            <v>0</v>
          </cell>
          <cell r="F233">
            <v>0</v>
          </cell>
          <cell r="G233">
            <v>206344.36</v>
          </cell>
        </row>
        <row r="234">
          <cell r="A234" t="str">
            <v>17.1</v>
          </cell>
          <cell r="B234">
            <v>120007</v>
          </cell>
          <cell r="C234" t="str">
            <v>EMASSAMENTO DE  PAREDE  EXTERNA  COM  02 DEMÃOS  DE  MASSA  ACRÍLICA,   INCLUSIVE LIXAMENTO</v>
          </cell>
          <cell r="D234" t="str">
            <v xml:space="preserve">m2    </v>
          </cell>
          <cell r="E234">
            <v>704.59</v>
          </cell>
          <cell r="F234">
            <v>9.0399999999999991</v>
          </cell>
          <cell r="G234">
            <v>6369.49</v>
          </cell>
        </row>
        <row r="235">
          <cell r="A235" t="str">
            <v>17.2</v>
          </cell>
          <cell r="B235">
            <v>120007</v>
          </cell>
          <cell r="C235" t="str">
            <v>EMASSAMENTO DE  PAREDE  EXTERNA  COM  02 DEMÃOS  DE  MASSA  ACRÍLICA,   INCLUSIVE LIXAMENTO</v>
          </cell>
          <cell r="D235" t="str">
            <v xml:space="preserve">m2    </v>
          </cell>
          <cell r="E235">
            <v>2349.25</v>
          </cell>
          <cell r="F235">
            <v>9.0399999999999991</v>
          </cell>
          <cell r="G235">
            <v>21237.22</v>
          </cell>
        </row>
        <row r="236">
          <cell r="A236" t="str">
            <v>17.3</v>
          </cell>
          <cell r="B236">
            <v>120057</v>
          </cell>
          <cell r="C236" t="str">
            <v>TINTA  ACRÍLICA  EM  PAREDE  INTERNA   E TETO COM 02  DEMÃOS,  INCLUSIVE  SELADOR ACRILICO,     SEM     MASSA      CORRIDA</v>
          </cell>
          <cell r="D236" t="str">
            <v xml:space="preserve">m2    </v>
          </cell>
          <cell r="E236">
            <v>4528.62</v>
          </cell>
          <cell r="F236">
            <v>8.83</v>
          </cell>
          <cell r="G236">
            <v>39987.71</v>
          </cell>
        </row>
        <row r="237">
          <cell r="A237" t="str">
            <v>17.4</v>
          </cell>
          <cell r="B237">
            <v>120035</v>
          </cell>
          <cell r="C237" t="str">
            <v>TINTA ACRÍLICA  EM  PAREDE  EXTERNA  COM 02 DEMÃOS, INCLUSIVE  SELADOR  ACRILICO, SEM MASSA CORRIDA</v>
          </cell>
          <cell r="D237" t="str">
            <v xml:space="preserve">m2    </v>
          </cell>
          <cell r="E237">
            <v>704.59</v>
          </cell>
          <cell r="F237">
            <v>9.2899999999999991</v>
          </cell>
          <cell r="G237">
            <v>6545.64</v>
          </cell>
        </row>
        <row r="238">
          <cell r="A238" t="str">
            <v>17.5</v>
          </cell>
          <cell r="B238" t="str">
            <v>COMP-58</v>
          </cell>
          <cell r="C238" t="str">
            <v>PINTURA EM ESTRUTURA METALICA E PARTE INFERIOR DA TELHA EM ALUMINIO COM TINTA AUTOMOTIVA AZUL CARBONO COM 02 DEMÃOS, COM PRIMER, INCLUSIVE LIXAMENTO ( ÁREA EM PROJEÇÃO)</v>
          </cell>
          <cell r="D238" t="str">
            <v xml:space="preserve">m2    </v>
          </cell>
          <cell r="E238">
            <v>5936.43</v>
          </cell>
          <cell r="F238">
            <v>22.27</v>
          </cell>
          <cell r="G238">
            <v>132204.29999999999</v>
          </cell>
        </row>
        <row r="239">
          <cell r="A239" t="str">
            <v>18</v>
          </cell>
          <cell r="B239">
            <v>0</v>
          </cell>
          <cell r="C239" t="str">
            <v>ELEVADORES</v>
          </cell>
          <cell r="D239">
            <v>0</v>
          </cell>
          <cell r="E239">
            <v>0</v>
          </cell>
          <cell r="F239">
            <v>0</v>
          </cell>
          <cell r="G239">
            <v>0</v>
          </cell>
        </row>
        <row r="240">
          <cell r="A240" t="str">
            <v>18.1</v>
          </cell>
          <cell r="B240" t="str">
            <v>COMP-59</v>
          </cell>
          <cell r="C240" t="str">
            <v xml:space="preserve">FORNECIMENTO E MONTAEGEM DE ELEVADOR SEM CASA DE MÀQUINAS, MARCA ATLAS SCHINDLER, OU SIMILAR, 06 PESSOAS, 02 PORTAS OPOSTAS, CABINA DE 1000 MM X 1250 MM ( FRENTE X LADO ), CARGA DE 450 KG, COMPOSTA POR PAINÉIS EM AÇO INOXIDÁVEL ESCOVADO ( FRENTE, LATERAIS E FACE POSTERIOR), COM ESPELHO AFIXADO NA PAREDE OPOSTA A PORTA E ACIMA DO CORRIMÃO. AS PORTAS SERÃO CORREDIÇAS HORIZONTAIS AUTOMÁTICAS (ABERTURA E ALTURA LIVRE DE 0.80M X 2.10M), SENDO OS ALIZARES E PISOS SERÃO EM GRANITO CINZA ACABAMENTO POLIDO. OS ELEVADORES POSSUIRÃO OS SEGUINTES ACESSÓRIOS: VENTILADOR COM ACIONAMENTO TEMPORIZADO,  BOTÃO DE ALARME, INDICAÇÃO DA CAPACIDADE EM KG E NÚMERO DE PASSAGEIROS, BOTÃO DE ABRIR PORTA, ILUMINAÇÃO DE EMERGÊNCIA, INTERCOMUNICADOR VIVA-VOZ DE 3 PONTOS E BOTÃO DE FECHAR PORTA. TODOS OS PAVIMENTOS RECEBERÃO SINALIZAÇÃO TÁTIL, VISUAL E SONORA SENDO: RELEVO E BRAILLE AFIXADO EM AMBOS OS LADOS DO BATENTE DO ELEVADOR À ALTURA ENTRE 90 CM E 1,10 CM; SINALIZAÇÃO SONORA PARA IDENTIFICAÇÃO DO ANDAR ONDE O ELEVADOR ESTÁ PARADO. DISPOSITIVO QUE EMITE SINAIS ACÚSTICOS E VISUAIS INDICANDO O SENTIDO EM QUE A CABINA SE MOVIMENTA. </v>
          </cell>
          <cell r="D240" t="str">
            <v xml:space="preserve">un    </v>
          </cell>
          <cell r="E240">
            <v>1</v>
          </cell>
          <cell r="F240">
            <v>0</v>
          </cell>
          <cell r="G240">
            <v>0</v>
          </cell>
        </row>
        <row r="241">
          <cell r="A241" t="str">
            <v>18.2</v>
          </cell>
          <cell r="B241" t="str">
            <v>COMP-60</v>
          </cell>
          <cell r="C241" t="str">
            <v>FORNECIMENTO   E   INSTALAÇÃO   DE   UMA PLATAFORMA DE ELEVAÇÃO  VERTICAL(PNE)  E SEU    PASSADIÇO     AUTOPORTANTE     EM ESTRUTURA  METÁLICA  E  VIDROS   BLINDEX 8mm,   02   PARADAS,    C/    CAPACIDADE 300Kg,VELOCIDADE      3,6m/min,ACIONAMENTO HIDRÁULICA,DIMENSÕES   DA   CABINE    DE 900x1400x1100mm,COMANDO      DE      PRESSÃO CONSTANTE COMPARADAS AUTOMÁTICAS,TENSÃO DE ALIMENTAÇÃO 80 ou 220VA,60Hz,TRIFÁSICO 5Cv,TENSÃO DE CONTROLE 12VA</v>
          </cell>
          <cell r="D241" t="str">
            <v xml:space="preserve">un    </v>
          </cell>
          <cell r="E241">
            <v>1</v>
          </cell>
          <cell r="F241">
            <v>0</v>
          </cell>
          <cell r="G241">
            <v>0</v>
          </cell>
        </row>
        <row r="242">
          <cell r="A242" t="str">
            <v>19</v>
          </cell>
          <cell r="B242">
            <v>0</v>
          </cell>
          <cell r="C242" t="str">
            <v>VIDROS</v>
          </cell>
          <cell r="D242">
            <v>0</v>
          </cell>
          <cell r="E242">
            <v>0</v>
          </cell>
          <cell r="F242">
            <v>0</v>
          </cell>
          <cell r="G242">
            <v>21572.49</v>
          </cell>
        </row>
        <row r="243">
          <cell r="A243" t="str">
            <v>19.1</v>
          </cell>
          <cell r="B243">
            <v>220025</v>
          </cell>
          <cell r="C243" t="str">
            <v>VIDRO  LAMINADO   LISO   INCOLOR   DUPLO ESP.=6mm     (3+3mm)     -      COLOCADO</v>
          </cell>
          <cell r="D243" t="str">
            <v xml:space="preserve">m2    </v>
          </cell>
          <cell r="E243">
            <v>13</v>
          </cell>
          <cell r="F243">
            <v>270</v>
          </cell>
          <cell r="G243">
            <v>3510</v>
          </cell>
        </row>
        <row r="244">
          <cell r="A244" t="str">
            <v>19.2</v>
          </cell>
          <cell r="B244">
            <v>220026</v>
          </cell>
          <cell r="C244" t="str">
            <v>VIDRO  LAMINADO   LISO   INCOLOR   DUPLO ESP.=8mm     (4+4mm)     -      COLOCADO</v>
          </cell>
          <cell r="D244" t="str">
            <v xml:space="preserve">m2    </v>
          </cell>
          <cell r="E244">
            <v>15</v>
          </cell>
          <cell r="F244">
            <v>290</v>
          </cell>
          <cell r="G244">
            <v>4350</v>
          </cell>
        </row>
        <row r="245">
          <cell r="A245" t="str">
            <v>19.3</v>
          </cell>
          <cell r="B245">
            <v>220022</v>
          </cell>
          <cell r="C245" t="str">
            <v>VIDRO  TEMPERADO  LISO  INCOLOR  ESP.=10 mm,     COM     FERRAGENS     (COLOCADO)</v>
          </cell>
          <cell r="D245" t="str">
            <v xml:space="preserve">m2    </v>
          </cell>
          <cell r="E245">
            <v>18</v>
          </cell>
          <cell r="F245">
            <v>392.2</v>
          </cell>
          <cell r="G245">
            <v>7059.6</v>
          </cell>
        </row>
        <row r="246">
          <cell r="A246" t="str">
            <v>19.4</v>
          </cell>
          <cell r="B246">
            <v>220007</v>
          </cell>
          <cell r="C246" t="str">
            <v>ESPELHO  LAPIDADO  4  mm   ,   INCLUSIVE FIXAÇÃO</v>
          </cell>
          <cell r="D246" t="str">
            <v xml:space="preserve">m2    </v>
          </cell>
          <cell r="E246">
            <v>29</v>
          </cell>
          <cell r="F246">
            <v>229.41</v>
          </cell>
          <cell r="G246">
            <v>6652.89</v>
          </cell>
        </row>
        <row r="247">
          <cell r="A247" t="str">
            <v>20</v>
          </cell>
          <cell r="B247">
            <v>0</v>
          </cell>
          <cell r="C247" t="str">
            <v xml:space="preserve">FORROS </v>
          </cell>
          <cell r="D247">
            <v>0</v>
          </cell>
          <cell r="E247">
            <v>0</v>
          </cell>
          <cell r="F247">
            <v>0</v>
          </cell>
          <cell r="G247">
            <v>25784.22</v>
          </cell>
        </row>
        <row r="248">
          <cell r="A248" t="str">
            <v>20.1</v>
          </cell>
          <cell r="B248">
            <v>100141</v>
          </cell>
          <cell r="C248" t="str">
            <v>FORRO DE  GESSO  ACARTONADO  ESTRUTURADO (FORNECIMENTO E MONTAGEM)</v>
          </cell>
          <cell r="D248" t="str">
            <v xml:space="preserve">m2    </v>
          </cell>
          <cell r="E248">
            <v>446.48</v>
          </cell>
          <cell r="F248">
            <v>57.75</v>
          </cell>
          <cell r="G248">
            <v>25784.22</v>
          </cell>
        </row>
        <row r="249">
          <cell r="A249" t="str">
            <v>21</v>
          </cell>
          <cell r="B249">
            <v>0</v>
          </cell>
          <cell r="C249" t="str">
            <v>PLACAS</v>
          </cell>
          <cell r="D249">
            <v>0</v>
          </cell>
          <cell r="E249">
            <v>0</v>
          </cell>
          <cell r="F249">
            <v>0</v>
          </cell>
          <cell r="G249">
            <v>206134.40000000002</v>
          </cell>
        </row>
        <row r="250">
          <cell r="A250" t="str">
            <v>21.1</v>
          </cell>
          <cell r="B250" t="str">
            <v>COMP-61</v>
          </cell>
          <cell r="C250" t="str">
            <v>QUIOSQUE EM ESTRUTURA EM ALUMÍNIO (PILARES, VIGAS E ESTRUTURA DA COBERTURA), REVESTIDA COM ACM NAS CORES CONFORME PROJETO (REVESTIMENTO NOS PILARES, PLATIBANDA, FORRO E COBERTURA)</v>
          </cell>
          <cell r="D250" t="str">
            <v>und</v>
          </cell>
          <cell r="E250">
            <v>1</v>
          </cell>
          <cell r="F250">
            <v>30222.5</v>
          </cell>
          <cell r="G250">
            <v>30222.5</v>
          </cell>
        </row>
        <row r="251">
          <cell r="A251" t="str">
            <v>21.2</v>
          </cell>
          <cell r="B251" t="str">
            <v>COMP-62</v>
          </cell>
          <cell r="C251" t="str">
            <v xml:space="preserve">PLACA COM PAINÉIS DE VEDAÇÃO EM ACM NA COR BRANCA. TEXTO CONFORME PROJETO DE COMUNICAÇÃO VISUAL </v>
          </cell>
          <cell r="D251" t="str">
            <v xml:space="preserve">m2    </v>
          </cell>
          <cell r="E251">
            <v>14.3</v>
          </cell>
          <cell r="F251">
            <v>350</v>
          </cell>
          <cell r="G251">
            <v>5005</v>
          </cell>
        </row>
        <row r="252">
          <cell r="A252" t="str">
            <v>21.3</v>
          </cell>
          <cell r="B252" t="str">
            <v>COMP-63</v>
          </cell>
          <cell r="C252" t="str">
            <v>PÓRTICOS DE COMUNICAÇÃO VISUAL 01 (ENTRADA ) PLACA  COM PAINÉIS DE VEDAÇÃO EM ACM NA COR BRANCA, COM COMUNICAÇÃO VISUAL SOBREPOSTA. TEXTO CONFORME PROJETO DE COMUNICAÇÃO VISUAL; FORNECIMENTO E INSTALAÇÃO</v>
          </cell>
          <cell r="D252" t="str">
            <v>und</v>
          </cell>
          <cell r="E252">
            <v>3</v>
          </cell>
          <cell r="F252">
            <v>7357.35</v>
          </cell>
          <cell r="G252">
            <v>22072.05</v>
          </cell>
        </row>
        <row r="253">
          <cell r="A253" t="str">
            <v>21.4</v>
          </cell>
          <cell r="B253" t="str">
            <v>COMP-64</v>
          </cell>
          <cell r="C253" t="str">
            <v xml:space="preserve"> PÓRTICOS DE COMUNICAÇÃO VISUAL 02 (NÍVEL 1,70 M – ESTAÇÃO RODOVIÁRIA E DETRAN): PILARES COM ESTRUTURA DE ALUMÍNIO, COM PAINÉIS DE VEDAÇÃO EM ACM NA COR BRANCA. TEXTO CONFORME PROJETO DE COMUNICAÇÃO VISUAL;  FORNECIMENTO E INSTALAÇÃO</v>
          </cell>
          <cell r="D253" t="str">
            <v>und</v>
          </cell>
          <cell r="E253">
            <v>2</v>
          </cell>
          <cell r="F253">
            <v>9427.5</v>
          </cell>
          <cell r="G253">
            <v>18855</v>
          </cell>
        </row>
        <row r="254">
          <cell r="A254" t="str">
            <v>21.5</v>
          </cell>
          <cell r="B254" t="str">
            <v>COMP-65</v>
          </cell>
          <cell r="C254" t="str">
            <v>PÓRTICOS DE COMUNICAÇÃO VISUAL 03 (NÍVEL 3,40 M – CENTRAL DO CIDADÃO): PLACA EM  ACM NA COR BRANCA COM ESTRUTURA EM ALUMÍNIO E REVESTIMENTO DE PILARES EM ACM CONFORME DETALHE, COM SÍMBOLOS (LETRAS E TEXTOS) DEFINIDOS CONFORME PROJETO;  FORNECIMENTO E INSTALAÇÃO</v>
          </cell>
          <cell r="D254" t="str">
            <v>und</v>
          </cell>
          <cell r="E254">
            <v>1</v>
          </cell>
          <cell r="F254">
            <v>10552.85</v>
          </cell>
          <cell r="G254">
            <v>10552.85</v>
          </cell>
        </row>
        <row r="255">
          <cell r="A255" t="str">
            <v>21.6</v>
          </cell>
          <cell r="B255" t="str">
            <v>COMP-66</v>
          </cell>
          <cell r="C255" t="str">
            <v>TOTENS TIPO 01 EM ESTRUTURA DE ALUMÍNIO COM PAINÉIS DE VEDAÇÃO EM ACM NA COR BRANCA, CONFORME DETALHE, PARA FIXAÇÃO DE ADESIVO CONFORME PROJETO DE COMUNICAÇÃO VISUAL DA RODOVIÁRIA;  FORNECIMENTO E INSTALAÇÃO</v>
          </cell>
          <cell r="D255" t="str">
            <v>und</v>
          </cell>
          <cell r="E255">
            <v>15</v>
          </cell>
          <cell r="F255">
            <v>4342.8</v>
          </cell>
          <cell r="G255">
            <v>65142</v>
          </cell>
        </row>
        <row r="256">
          <cell r="A256" t="str">
            <v>21.7</v>
          </cell>
          <cell r="B256" t="str">
            <v>COMP-67</v>
          </cell>
          <cell r="C256" t="str">
            <v>TOTENS TIPO 02 EM ESTRUTURA DE ALUMÍNIO COM PAINÉIS DE VEDAÇÃO EM ACM NA COR BRANCA, CONFORME DETALHE, PARA FIXAÇÃO DE ADESIVO CONFORME PROJETO DE COMUNICAÇÃO VISUAL DA CENTRAL DO CIDADÃO,  FORNECIMENTO E INSTALAÇÃO</v>
          </cell>
          <cell r="D256" t="str">
            <v>und</v>
          </cell>
          <cell r="E256">
            <v>10</v>
          </cell>
          <cell r="F256">
            <v>5428.5</v>
          </cell>
          <cell r="G256">
            <v>54285</v>
          </cell>
        </row>
        <row r="257">
          <cell r="A257" t="str">
            <v>22</v>
          </cell>
          <cell r="B257">
            <v>0</v>
          </cell>
          <cell r="C257" t="str">
            <v>SINALIZAÇAO DO SISTEMA VIÁRIO</v>
          </cell>
          <cell r="D257">
            <v>0</v>
          </cell>
          <cell r="E257">
            <v>0</v>
          </cell>
          <cell r="F257">
            <v>0</v>
          </cell>
          <cell r="G257">
            <v>36389.94</v>
          </cell>
        </row>
        <row r="258">
          <cell r="A258" t="str">
            <v>22.1</v>
          </cell>
          <cell r="B258">
            <v>110027</v>
          </cell>
          <cell r="C258" t="str">
            <v>FAIXA  HORIZONTAL  COM  TINTA  REFLETIVA DE RESINA ACRÍLICA</v>
          </cell>
          <cell r="D258" t="str">
            <v xml:space="preserve">m2    </v>
          </cell>
          <cell r="E258">
            <v>416</v>
          </cell>
          <cell r="F258">
            <v>15.09</v>
          </cell>
          <cell r="G258">
            <v>6277.44</v>
          </cell>
        </row>
        <row r="259">
          <cell r="A259" t="str">
            <v>22.2</v>
          </cell>
          <cell r="B259">
            <v>110033</v>
          </cell>
          <cell r="C259" t="str">
            <v>TACHÃO REFLETIVO BIDIRECIONAL</v>
          </cell>
          <cell r="D259" t="str">
            <v xml:space="preserve">un    </v>
          </cell>
          <cell r="E259">
            <v>300</v>
          </cell>
          <cell r="F259">
            <v>33.07</v>
          </cell>
          <cell r="G259">
            <v>9921</v>
          </cell>
        </row>
        <row r="260">
          <cell r="A260" t="str">
            <v>22.3</v>
          </cell>
          <cell r="B260">
            <v>110034</v>
          </cell>
          <cell r="C260" t="str">
            <v>TARTARUGAS REFLETIVA SINALIZAÇÃO</v>
          </cell>
          <cell r="D260" t="str">
            <v xml:space="preserve">un    </v>
          </cell>
          <cell r="E260">
            <v>100</v>
          </cell>
          <cell r="F260">
            <v>26.18</v>
          </cell>
          <cell r="G260">
            <v>2618</v>
          </cell>
        </row>
        <row r="261">
          <cell r="A261" t="str">
            <v>22.4</v>
          </cell>
          <cell r="B261">
            <v>110039</v>
          </cell>
          <cell r="C261" t="str">
            <v>PLACA INDICATIVA, EDUCATIVA  E  SERVIÇOS SEMI-REFLETIVA   EM   AÇO   GALVANIZADO, INCLUSIVE SUPORTE, TRAVESSA E  PARAFUSOS</v>
          </cell>
          <cell r="D261" t="str">
            <v xml:space="preserve">m2    </v>
          </cell>
          <cell r="E261">
            <v>50</v>
          </cell>
          <cell r="F261">
            <v>351.47</v>
          </cell>
          <cell r="G261">
            <v>17573.5</v>
          </cell>
        </row>
        <row r="262">
          <cell r="A262" t="str">
            <v>23</v>
          </cell>
          <cell r="B262">
            <v>0</v>
          </cell>
          <cell r="C262" t="str">
            <v>SERVIÇOS COMPLEMENTARES</v>
          </cell>
          <cell r="D262">
            <v>0</v>
          </cell>
          <cell r="E262">
            <v>0</v>
          </cell>
          <cell r="F262">
            <v>0</v>
          </cell>
          <cell r="G262">
            <v>1336.9</v>
          </cell>
        </row>
        <row r="263">
          <cell r="A263" t="str">
            <v>23.1</v>
          </cell>
          <cell r="B263">
            <v>210073</v>
          </cell>
          <cell r="C263" t="str">
            <v>CERCA  EM   ESTACA   PONTA   VIRADA   DE CONCRETO      ARMADO,      H=2,50m+0,40m (CURVA), ESPAÇADAS  A  CADA  2,00m,  COM 12  FIOS  DE  ARAME  FARPADO  E   ALTURA LIVRE DE 2,40m, INCLUSIVE MOURÃO ESCORA E FIXAÇÃO</v>
          </cell>
          <cell r="D263" t="str">
            <v xml:space="preserve">m     </v>
          </cell>
          <cell r="E263">
            <v>29</v>
          </cell>
          <cell r="F263">
            <v>46.1</v>
          </cell>
          <cell r="G263">
            <v>1336.9</v>
          </cell>
        </row>
        <row r="264">
          <cell r="A264">
            <v>0</v>
          </cell>
          <cell r="B264">
            <v>0</v>
          </cell>
          <cell r="C264" t="str">
            <v>TOTAL S/ BDI</v>
          </cell>
          <cell r="D264">
            <v>0</v>
          </cell>
          <cell r="E264">
            <v>0</v>
          </cell>
          <cell r="F264">
            <v>0</v>
          </cell>
          <cell r="G264">
            <v>6039191.7300000014</v>
          </cell>
        </row>
        <row r="265">
          <cell r="A265">
            <v>0</v>
          </cell>
          <cell r="B265">
            <v>0</v>
          </cell>
          <cell r="C265" t="str">
            <v>BDI (27%)</v>
          </cell>
          <cell r="D265">
            <v>0</v>
          </cell>
          <cell r="E265">
            <v>0</v>
          </cell>
          <cell r="F265">
            <v>0</v>
          </cell>
          <cell r="G265">
            <v>1630581.7671000005</v>
          </cell>
        </row>
        <row r="266">
          <cell r="A266">
            <v>0</v>
          </cell>
          <cell r="B266">
            <v>0</v>
          </cell>
          <cell r="C266" t="str">
            <v>TOTAL C/ BDI</v>
          </cell>
          <cell r="D266">
            <v>0</v>
          </cell>
          <cell r="E266">
            <v>0</v>
          </cell>
          <cell r="F266">
            <v>0</v>
          </cell>
          <cell r="G266">
            <v>7669773.4971000021</v>
          </cell>
        </row>
      </sheetData>
      <sheetData sheetId="1"/>
      <sheetData sheetId="2"/>
      <sheetData sheetId="3"/>
      <sheetData sheetId="4"/>
      <sheetData sheetId="5"/>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ª READEQUAÇÃO"/>
      <sheetName val="MEM. DE CÁLCULO"/>
      <sheetName val="ITENS NOVOS - 1ª READ."/>
      <sheetName val="CPUS ITENS NOVOS - 1ª READ."/>
    </sheetNames>
    <sheetDataSet>
      <sheetData sheetId="0">
        <row r="1">
          <cell r="A1"/>
          <cell r="B1"/>
          <cell r="C1"/>
          <cell r="D1"/>
          <cell r="K1"/>
          <cell r="L1"/>
        </row>
        <row r="2">
          <cell r="A2" t="str">
            <v>GOVERNO DO ESTADO DO RIO GRANDE DO NORTE</v>
          </cell>
          <cell r="B2"/>
          <cell r="C2"/>
          <cell r="D2"/>
          <cell r="E2"/>
          <cell r="F2"/>
          <cell r="G2"/>
          <cell r="H2"/>
          <cell r="I2"/>
          <cell r="J2"/>
          <cell r="K2"/>
          <cell r="L2"/>
          <cell r="M2"/>
          <cell r="N2"/>
        </row>
        <row r="3">
          <cell r="A3" t="str">
            <v>SECRETARIA DE INFRA-ESTRUTURA - SIN</v>
          </cell>
          <cell r="B3"/>
          <cell r="C3"/>
          <cell r="D3"/>
          <cell r="E3"/>
          <cell r="F3"/>
          <cell r="G3"/>
          <cell r="H3"/>
          <cell r="I3"/>
          <cell r="J3"/>
          <cell r="K3"/>
          <cell r="L3"/>
          <cell r="M3"/>
          <cell r="N3"/>
        </row>
        <row r="4">
          <cell r="A4" t="str">
            <v xml:space="preserve">COORDENADORIA DE OBRAS E SERVIÇOS DE ENGENHARIA </v>
          </cell>
          <cell r="B4"/>
          <cell r="C4"/>
          <cell r="D4"/>
          <cell r="E4"/>
          <cell r="F4"/>
          <cell r="G4"/>
          <cell r="H4"/>
          <cell r="I4"/>
          <cell r="J4"/>
          <cell r="K4"/>
          <cell r="L4"/>
          <cell r="M4"/>
          <cell r="N4"/>
        </row>
        <row r="5">
          <cell r="A5" t="str">
            <v>SUB-COORDENADORIA DE FISCALIZAÇÃO DE CONTROLE</v>
          </cell>
          <cell r="B5"/>
          <cell r="C5"/>
          <cell r="D5"/>
          <cell r="E5"/>
          <cell r="F5"/>
          <cell r="G5"/>
          <cell r="H5"/>
          <cell r="I5"/>
          <cell r="J5"/>
          <cell r="K5"/>
          <cell r="L5"/>
          <cell r="M5"/>
          <cell r="N5"/>
        </row>
        <row r="7">
          <cell r="A7" t="str">
            <v>OBRA:</v>
          </cell>
          <cell r="B7" t="str">
            <v>CONSTITUI O PRESENTE OBJETO A CONTRATAÇÃO DE EMPRESA ESPECIALIZADA PARA EXECUÇÃO DE OBRA DA COBERTURA DA QUADRA POLIESPORTIVA DO 8º BATALHÃO DE POLICIA MILITAR, LOCALIZADO NA RUA PROF. MARIO PINOTI, 218, NOVA CRUZ/RN.</v>
          </cell>
          <cell r="C7" t="str">
            <v>CONTRATO:</v>
          </cell>
          <cell r="D7"/>
          <cell r="E7" t="str">
            <v xml:space="preserve">OS: </v>
          </cell>
          <cell r="F7" t="str">
            <v xml:space="preserve">DATA OS: </v>
          </cell>
          <cell r="G7" t="str">
            <v xml:space="preserve">PRAZO DE EXECUÇÃO (DIAS) </v>
          </cell>
          <cell r="H7"/>
          <cell r="I7" t="str">
            <v>DATA BASE:</v>
          </cell>
          <cell r="J7" t="str">
            <v>FISCAL:</v>
          </cell>
          <cell r="K7"/>
          <cell r="L7" t="str">
            <v>CREA</v>
          </cell>
          <cell r="M7" t="str">
            <v>EMPRESA EXECUTORA:</v>
          </cell>
          <cell r="N7" t="str">
            <v>CONARTE PROJETOS CONSTRUÇÕES E SERVIÇOS LTDA</v>
          </cell>
        </row>
        <row r="8">
          <cell r="A8"/>
          <cell r="B8"/>
          <cell r="C8" t="str">
            <v>057/2025</v>
          </cell>
          <cell r="D8"/>
          <cell r="E8" t="str">
            <v>049/2025</v>
          </cell>
          <cell r="F8">
            <v>46008</v>
          </cell>
          <cell r="G8">
            <v>240</v>
          </cell>
          <cell r="H8"/>
          <cell r="I8" t="str">
            <v>07/2025</v>
          </cell>
          <cell r="J8" t="str">
            <v>VICTOR HUGO</v>
          </cell>
          <cell r="K8"/>
          <cell r="L8"/>
          <cell r="M8"/>
          <cell r="N8"/>
        </row>
        <row r="9">
          <cell r="A9" t="str">
            <v>PLANILHA ORÇAMENTÁRIA DE READEQUAÇÃO Nº 001</v>
          </cell>
          <cell r="B9"/>
          <cell r="C9"/>
          <cell r="D9"/>
          <cell r="E9"/>
          <cell r="F9"/>
          <cell r="G9"/>
          <cell r="H9"/>
          <cell r="I9"/>
          <cell r="J9"/>
          <cell r="K9"/>
          <cell r="L9"/>
          <cell r="M9"/>
          <cell r="N9"/>
        </row>
        <row r="10">
          <cell r="A10" t="str">
            <v>ITEM</v>
          </cell>
          <cell r="B10" t="str">
            <v>DESCRIÇÃO</v>
          </cell>
          <cell r="C10" t="str">
            <v>UND</v>
          </cell>
          <cell r="D10" t="str">
            <v>QUANTIDADES</v>
          </cell>
          <cell r="E10"/>
          <cell r="F10"/>
          <cell r="G10"/>
          <cell r="H10"/>
          <cell r="I10" t="str">
            <v>VALORES</v>
          </cell>
          <cell r="J10"/>
          <cell r="K10"/>
          <cell r="L10"/>
          <cell r="M10"/>
          <cell r="N10"/>
        </row>
        <row r="11">
          <cell r="A11"/>
          <cell r="B11"/>
          <cell r="C11"/>
          <cell r="D11" t="str">
            <v>PREVISTA</v>
          </cell>
          <cell r="E11" t="str">
            <v>ACRESCIDOS</v>
          </cell>
          <cell r="F11" t="str">
            <v>DECRESCIDOS</v>
          </cell>
          <cell r="G11" t="str">
            <v>EXTRA</v>
          </cell>
          <cell r="H11" t="str">
            <v xml:space="preserve">READEQUADA  </v>
          </cell>
          <cell r="I11" t="str">
            <v>UNIT.</v>
          </cell>
          <cell r="J11" t="str">
            <v xml:space="preserve">PREVISTO </v>
          </cell>
          <cell r="K11" t="str">
            <v>ACRESCIDOS</v>
          </cell>
          <cell r="L11" t="str">
            <v>DECRESCIDOS</v>
          </cell>
          <cell r="M11" t="str">
            <v>EXTRA</v>
          </cell>
          <cell r="N11" t="str">
            <v xml:space="preserve">READEQUADA </v>
          </cell>
        </row>
        <row r="12">
          <cell r="A12">
            <v>1</v>
          </cell>
          <cell r="B12" t="str">
            <v>SERVIÇOS PRELIMINARES</v>
          </cell>
          <cell r="C12"/>
          <cell r="D12"/>
          <cell r="E12"/>
          <cell r="F12"/>
          <cell r="G12"/>
          <cell r="H12"/>
          <cell r="I12"/>
          <cell r="J12">
            <v>23460.260000000006</v>
          </cell>
          <cell r="K12">
            <v>10398.678500000002</v>
          </cell>
          <cell r="L12">
            <v>0</v>
          </cell>
          <cell r="M12"/>
          <cell r="N12">
            <v>33858.93</v>
          </cell>
        </row>
        <row r="13">
          <cell r="A13" t="str">
            <v xml:space="preserve"> 1.1</v>
          </cell>
          <cell r="B13" t="str">
            <v>ADMINISTRAÇÃO LOCAL DA OBRA</v>
          </cell>
          <cell r="C13" t="str">
            <v>UN</v>
          </cell>
          <cell r="D13">
            <v>1</v>
          </cell>
          <cell r="E13">
            <v>0.31</v>
          </cell>
          <cell r="F13">
            <v>0</v>
          </cell>
          <cell r="G13">
            <v>0</v>
          </cell>
          <cell r="H13">
            <v>1.31</v>
          </cell>
          <cell r="I13">
            <v>17695.490000000002</v>
          </cell>
          <cell r="J13">
            <v>17695.490000000002</v>
          </cell>
          <cell r="K13">
            <v>5485.6019000000006</v>
          </cell>
          <cell r="L13">
            <v>0</v>
          </cell>
          <cell r="M13"/>
          <cell r="N13">
            <v>23181.09</v>
          </cell>
        </row>
        <row r="14">
          <cell r="A14" t="str">
            <v xml:space="preserve"> 1.2</v>
          </cell>
          <cell r="B14" t="str">
            <v>REGULARIZAÇÃO DE OBRA - ART - 2025</v>
          </cell>
          <cell r="C14" t="str">
            <v>UN</v>
          </cell>
          <cell r="D14">
            <v>1</v>
          </cell>
          <cell r="E14">
            <v>0</v>
          </cell>
          <cell r="F14">
            <v>0</v>
          </cell>
          <cell r="G14">
            <v>0</v>
          </cell>
          <cell r="H14">
            <v>1</v>
          </cell>
          <cell r="I14">
            <v>332.45</v>
          </cell>
          <cell r="J14">
            <v>332.45</v>
          </cell>
          <cell r="K14">
            <v>0</v>
          </cell>
          <cell r="L14">
            <v>0</v>
          </cell>
          <cell r="M14"/>
          <cell r="N14">
            <v>332.45</v>
          </cell>
        </row>
        <row r="15">
          <cell r="A15" t="str">
            <v>1.3</v>
          </cell>
          <cell r="B15" t="str">
            <v>FORNECIMENTO E INSTALAÇÃO DE PLACA DE OBRA COM CHAPA GALVANIZADA E ESTRUTURA DE MADEIRA. AF_03/2022_PS</v>
          </cell>
          <cell r="C15" t="str">
            <v>m²</v>
          </cell>
          <cell r="D15">
            <v>6</v>
          </cell>
          <cell r="E15">
            <v>0</v>
          </cell>
          <cell r="F15">
            <v>0</v>
          </cell>
          <cell r="G15">
            <v>0</v>
          </cell>
          <cell r="H15">
            <v>6</v>
          </cell>
          <cell r="I15">
            <v>527.67999999999995</v>
          </cell>
          <cell r="J15">
            <v>3166.08</v>
          </cell>
          <cell r="K15">
            <v>0</v>
          </cell>
          <cell r="L15">
            <v>0</v>
          </cell>
          <cell r="M15"/>
          <cell r="N15">
            <v>3166.08</v>
          </cell>
        </row>
        <row r="16">
          <cell r="A16" t="str">
            <v>1.4</v>
          </cell>
          <cell r="B16" t="str">
            <v>MOBILIZAÇÃO DE EQUIPAMENTOS EM CAMINHÃO EQUIPADO COM GUINDASTE</v>
          </cell>
          <cell r="C16" t="str">
            <v>KM</v>
          </cell>
          <cell r="D16">
            <v>50</v>
          </cell>
          <cell r="E16">
            <v>63</v>
          </cell>
          <cell r="F16">
            <v>0</v>
          </cell>
          <cell r="G16">
            <v>0</v>
          </cell>
          <cell r="H16">
            <v>113</v>
          </cell>
          <cell r="I16">
            <v>5</v>
          </cell>
          <cell r="J16">
            <v>250</v>
          </cell>
          <cell r="K16">
            <v>315</v>
          </cell>
          <cell r="L16">
            <v>0</v>
          </cell>
          <cell r="M16"/>
          <cell r="N16">
            <v>565</v>
          </cell>
        </row>
        <row r="17">
          <cell r="A17" t="str">
            <v>1.5</v>
          </cell>
          <cell r="B17" t="str">
            <v>DEMOLIÇÃO DE PISO DE CIMENTADO SOBRE LASTRO DE CONCRETO SIMPLES/CALCETAMENTO. R_11/2020</v>
          </cell>
          <cell r="C17" t="str">
            <v>m²</v>
          </cell>
          <cell r="D17">
            <v>23.66</v>
          </cell>
          <cell r="E17">
            <v>149.37</v>
          </cell>
          <cell r="F17">
            <v>0</v>
          </cell>
          <cell r="G17">
            <v>0</v>
          </cell>
          <cell r="H17">
            <v>173.03</v>
          </cell>
          <cell r="I17">
            <v>27</v>
          </cell>
          <cell r="J17">
            <v>638.82000000000005</v>
          </cell>
          <cell r="K17">
            <v>4032.9900000000002</v>
          </cell>
          <cell r="L17">
            <v>0</v>
          </cell>
          <cell r="M17"/>
          <cell r="N17">
            <v>4671.8100000000004</v>
          </cell>
        </row>
        <row r="18">
          <cell r="A18" t="str">
            <v>1.6</v>
          </cell>
          <cell r="B18" t="str">
            <v>DEMOLIÇÃO DE ALVENARIA DE BLOCO FURADO, DE FORMA MANUAL, SEM REAPROVEITAMENTO. AF_09/2023</v>
          </cell>
          <cell r="C18" t="str">
            <v>m³</v>
          </cell>
          <cell r="D18">
            <v>3.46</v>
          </cell>
          <cell r="E18">
            <v>8.06</v>
          </cell>
          <cell r="F18">
            <v>0</v>
          </cell>
          <cell r="G18">
            <v>0</v>
          </cell>
          <cell r="H18">
            <v>11.52</v>
          </cell>
          <cell r="I18">
            <v>70.11</v>
          </cell>
          <cell r="J18">
            <v>242.58</v>
          </cell>
          <cell r="K18">
            <v>565.08659999999998</v>
          </cell>
          <cell r="L18">
            <v>0</v>
          </cell>
          <cell r="M18"/>
          <cell r="N18">
            <v>807.66</v>
          </cell>
        </row>
        <row r="19">
          <cell r="A19" t="str">
            <v>1.7</v>
          </cell>
          <cell r="B19" t="str">
            <v>REMOÇÃO DE POSTE DE CONCRETO ARMADO SEÇÃO CIRCULAR OU DUPLO T. INC_05/2021</v>
          </cell>
          <cell r="C19" t="str">
            <v>UN</v>
          </cell>
          <cell r="D19">
            <v>3</v>
          </cell>
          <cell r="E19">
            <v>0</v>
          </cell>
          <cell r="F19">
            <v>0</v>
          </cell>
          <cell r="G19">
            <v>0</v>
          </cell>
          <cell r="H19">
            <v>3</v>
          </cell>
          <cell r="I19">
            <v>378.28</v>
          </cell>
          <cell r="J19">
            <v>1134.8399999999999</v>
          </cell>
          <cell r="K19">
            <v>0</v>
          </cell>
          <cell r="L19">
            <v>0</v>
          </cell>
          <cell r="M19"/>
          <cell r="N19">
            <v>1134.8399999999999</v>
          </cell>
        </row>
        <row r="20">
          <cell r="A20">
            <v>2</v>
          </cell>
          <cell r="B20" t="str">
            <v>MOVIMENTO DE TERRA</v>
          </cell>
          <cell r="C20"/>
          <cell r="D20"/>
          <cell r="E20"/>
          <cell r="F20"/>
          <cell r="G20"/>
          <cell r="H20"/>
          <cell r="I20"/>
          <cell r="J20">
            <v>3292.14</v>
          </cell>
          <cell r="K20">
            <v>157.9134</v>
          </cell>
          <cell r="L20">
            <v>0</v>
          </cell>
          <cell r="M20"/>
          <cell r="N20">
            <v>3450.05</v>
          </cell>
        </row>
        <row r="21">
          <cell r="A21" t="str">
            <v xml:space="preserve">2.1 </v>
          </cell>
          <cell r="B21" t="str">
            <v>ESCAVAÇÃO MANUAL PARA BLOCO DE COROAMENTO OU SAPATA (INCLUINDO ESCAVAÇÃO PARA COLOCAÇÃO DE FÔRMAS). AF_01/2024</v>
          </cell>
          <cell r="C21" t="str">
            <v>m³</v>
          </cell>
          <cell r="D21">
            <v>23.96</v>
          </cell>
          <cell r="E21">
            <v>1.38</v>
          </cell>
          <cell r="F21">
            <v>0</v>
          </cell>
          <cell r="G21">
            <v>0</v>
          </cell>
          <cell r="H21">
            <v>25.34</v>
          </cell>
          <cell r="I21">
            <v>114.43</v>
          </cell>
          <cell r="J21">
            <v>2741.74</v>
          </cell>
          <cell r="K21">
            <v>157.9134</v>
          </cell>
          <cell r="L21">
            <v>0</v>
          </cell>
          <cell r="M21"/>
          <cell r="N21">
            <v>2899.65</v>
          </cell>
        </row>
        <row r="22">
          <cell r="A22" t="str">
            <v xml:space="preserve">2.2 </v>
          </cell>
          <cell r="B22" t="str">
            <v>ATERRO MANUAL COM AREIA PARA ATERRO E APILOADO COM SOQUETE EM CAMADAS DE 20 CM. R_11/2019</v>
          </cell>
          <cell r="C22" t="str">
            <v>m³</v>
          </cell>
          <cell r="D22">
            <v>0.9</v>
          </cell>
          <cell r="E22">
            <v>0</v>
          </cell>
          <cell r="F22">
            <v>0</v>
          </cell>
          <cell r="G22">
            <v>0</v>
          </cell>
          <cell r="H22">
            <v>0.9</v>
          </cell>
          <cell r="I22">
            <v>134.41</v>
          </cell>
          <cell r="J22">
            <v>120.96</v>
          </cell>
          <cell r="K22">
            <v>0</v>
          </cell>
          <cell r="L22">
            <v>0</v>
          </cell>
          <cell r="M22"/>
          <cell r="N22">
            <v>120.96</v>
          </cell>
        </row>
        <row r="23">
          <cell r="A23" t="str">
            <v xml:space="preserve">2.3 </v>
          </cell>
          <cell r="B23" t="str">
            <v>REATERRO MANUAL DE VALAS, COM PLACA VIBRATÓRIA. AF_08/2023</v>
          </cell>
          <cell r="C23" t="str">
            <v>m³</v>
          </cell>
          <cell r="D23">
            <v>16.09</v>
          </cell>
          <cell r="E23">
            <v>0</v>
          </cell>
          <cell r="F23">
            <v>0</v>
          </cell>
          <cell r="G23">
            <v>0</v>
          </cell>
          <cell r="H23">
            <v>16.09</v>
          </cell>
          <cell r="I23">
            <v>26.69</v>
          </cell>
          <cell r="J23">
            <v>429.44</v>
          </cell>
          <cell r="K23">
            <v>0</v>
          </cell>
          <cell r="L23">
            <v>0</v>
          </cell>
          <cell r="M23"/>
          <cell r="N23">
            <v>429.44</v>
          </cell>
        </row>
        <row r="24">
          <cell r="A24">
            <v>3</v>
          </cell>
          <cell r="B24" t="str">
            <v>FUNDAÇÃO</v>
          </cell>
          <cell r="C24"/>
          <cell r="D24"/>
          <cell r="E24"/>
          <cell r="F24"/>
          <cell r="G24"/>
          <cell r="H24"/>
          <cell r="I24"/>
          <cell r="J24">
            <v>11915.13</v>
          </cell>
          <cell r="K24">
            <v>11350.780200000001</v>
          </cell>
          <cell r="L24">
            <v>0</v>
          </cell>
          <cell r="M24"/>
          <cell r="N24">
            <v>23265.920000000002</v>
          </cell>
        </row>
        <row r="25">
          <cell r="A25" t="str">
            <v xml:space="preserve">3.1 </v>
          </cell>
          <cell r="B25" t="str">
            <v>LASTRO DE CONCRETO MAGRO, APLICADO EM BLOCOS DE COROAMENTO OU SAPATAS, ESPESSURA DE 5 CM. AF_01/2024</v>
          </cell>
          <cell r="C25" t="str">
            <v>m²</v>
          </cell>
          <cell r="D25">
            <v>14</v>
          </cell>
          <cell r="E25">
            <v>2</v>
          </cell>
          <cell r="F25">
            <v>0</v>
          </cell>
          <cell r="G25">
            <v>0</v>
          </cell>
          <cell r="H25">
            <v>16</v>
          </cell>
          <cell r="I25">
            <v>45.46</v>
          </cell>
          <cell r="J25">
            <v>636.44000000000005</v>
          </cell>
          <cell r="K25">
            <v>90.92</v>
          </cell>
          <cell r="L25">
            <v>0</v>
          </cell>
          <cell r="M25"/>
          <cell r="N25">
            <v>727.36</v>
          </cell>
        </row>
        <row r="26">
          <cell r="A26" t="str">
            <v xml:space="preserve">3.2 </v>
          </cell>
          <cell r="B26" t="str">
            <v>FABRICAÇÃO, MONTAGEM E DESMONTAGEM DE FÔRMA PARA BLOCO DE COROAMENTO, EM CHAPA DE MADEIRA COMPENSADA RESINADA, E=17 MM, 4 UTILIZAÇÕES. AF_01/2024</v>
          </cell>
          <cell r="C26" t="str">
            <v>m²</v>
          </cell>
          <cell r="D26">
            <v>35.840000000000003</v>
          </cell>
          <cell r="E26">
            <v>28.16</v>
          </cell>
          <cell r="F26">
            <v>0</v>
          </cell>
          <cell r="G26">
            <v>0</v>
          </cell>
          <cell r="H26">
            <v>64</v>
          </cell>
          <cell r="I26">
            <v>164.61</v>
          </cell>
          <cell r="J26">
            <v>5899.62</v>
          </cell>
          <cell r="K26">
            <v>4635.4176000000007</v>
          </cell>
          <cell r="L26">
            <v>0</v>
          </cell>
          <cell r="M26"/>
          <cell r="N26">
            <v>10535.04</v>
          </cell>
        </row>
        <row r="27">
          <cell r="A27" t="str">
            <v xml:space="preserve">3.3 </v>
          </cell>
          <cell r="B27" t="str">
            <v>CONCRETO CICLÓPICO FCK = 25MPA, 30% PEDRA DE MÃO EM VOLUME REAL, INCLUSIVE LANÇAMENTO. R_11/2021</v>
          </cell>
          <cell r="C27" t="str">
            <v>m³</v>
          </cell>
          <cell r="D27">
            <v>7.17</v>
          </cell>
          <cell r="E27">
            <v>8.83</v>
          </cell>
          <cell r="F27">
            <v>0</v>
          </cell>
          <cell r="G27">
            <v>0</v>
          </cell>
          <cell r="H27">
            <v>16</v>
          </cell>
          <cell r="I27">
            <v>750.22</v>
          </cell>
          <cell r="J27">
            <v>5379.07</v>
          </cell>
          <cell r="K27">
            <v>6624.4426000000003</v>
          </cell>
          <cell r="L27">
            <v>0</v>
          </cell>
          <cell r="M27"/>
          <cell r="N27">
            <v>12003.52</v>
          </cell>
        </row>
        <row r="28">
          <cell r="A28">
            <v>4</v>
          </cell>
          <cell r="B28" t="str">
            <v>ESTRUTURA</v>
          </cell>
          <cell r="C28"/>
          <cell r="D28"/>
          <cell r="E28"/>
          <cell r="F28"/>
          <cell r="G28"/>
          <cell r="H28"/>
          <cell r="I28"/>
          <cell r="J28">
            <v>194187.12</v>
          </cell>
          <cell r="K28">
            <v>62182.956399999995</v>
          </cell>
          <cell r="L28">
            <v>0</v>
          </cell>
          <cell r="M28"/>
          <cell r="N28">
            <v>256370.07</v>
          </cell>
        </row>
        <row r="29">
          <cell r="A29" t="str">
            <v xml:space="preserve">4.1 </v>
          </cell>
          <cell r="B29" t="str">
            <v>ESTRUTURA METÁLICA P/ COBERTURA C/VIGAS-TRELIÇA PRATT E TERÇAS EM UDC 127, 2 ÁGUAS, SEM LANTERNIN, VÃOS 10,01 A 20,0M, PINTADA 1 D OXIDO FERRO + 2 D ESMALTE EPÓXI BRANCO, EXCETO FORN. TELHAS - EXECUTADA</v>
          </cell>
          <cell r="C29" t="str">
            <v>m²</v>
          </cell>
          <cell r="D29">
            <v>657</v>
          </cell>
          <cell r="E29">
            <v>199.39</v>
          </cell>
          <cell r="F29">
            <v>0</v>
          </cell>
          <cell r="G29">
            <v>0</v>
          </cell>
          <cell r="H29">
            <v>856.39</v>
          </cell>
          <cell r="I29">
            <v>222.76</v>
          </cell>
          <cell r="J29">
            <v>146353.32</v>
          </cell>
          <cell r="K29">
            <v>44416.116399999992</v>
          </cell>
          <cell r="L29">
            <v>0</v>
          </cell>
          <cell r="M29"/>
          <cell r="N29">
            <v>190769.43</v>
          </cell>
        </row>
        <row r="30">
          <cell r="A30" t="str">
            <v xml:space="preserve">4.2 </v>
          </cell>
          <cell r="B30" t="str">
            <v>COLUNA METÁLICA, EM PERFIS UDC127X50X5,13, DIAGONAIS DUPLAS, DIVERSOS USOS OU COMPOSIÇÃO DE PÓRTICOS VÃOS 10,01M A 20,0M,, LARGURA 0,60M, PDMAX. 7,00 , PINTURA 01 DEMÃO EPOXI FUNDO ÓXIDO FERRO + 02 DEMÃOS ESMALTE EPOXI BRANCO</v>
          </cell>
          <cell r="C30" t="str">
            <v>M</v>
          </cell>
          <cell r="D30">
            <v>70</v>
          </cell>
          <cell r="E30">
            <v>26</v>
          </cell>
          <cell r="F30">
            <v>0</v>
          </cell>
          <cell r="G30">
            <v>0</v>
          </cell>
          <cell r="H30">
            <v>96</v>
          </cell>
          <cell r="I30">
            <v>683.34</v>
          </cell>
          <cell r="J30">
            <v>47833.8</v>
          </cell>
          <cell r="K30">
            <v>17766.84</v>
          </cell>
          <cell r="L30">
            <v>0</v>
          </cell>
          <cell r="M30"/>
          <cell r="N30">
            <v>65600.639999999999</v>
          </cell>
        </row>
        <row r="31">
          <cell r="A31">
            <v>5</v>
          </cell>
          <cell r="B31" t="str">
            <v>PAREDES E PAINÉIS</v>
          </cell>
          <cell r="C31"/>
          <cell r="D31"/>
          <cell r="E31"/>
          <cell r="F31"/>
          <cell r="G31"/>
          <cell r="H31"/>
          <cell r="I31"/>
          <cell r="J31">
            <v>4140.29</v>
          </cell>
          <cell r="K31">
            <v>0</v>
          </cell>
          <cell r="L31">
            <v>0</v>
          </cell>
          <cell r="M31"/>
          <cell r="N31">
            <v>4140.29</v>
          </cell>
        </row>
        <row r="32">
          <cell r="A32" t="str">
            <v xml:space="preserve">5.1 </v>
          </cell>
          <cell r="B32" t="str">
            <v>ALVENARIA EM TIJOLO CERÂMICO FURADO 9X19X19CM, 1 VEZ (ESPESSURA 19 CM), ASSENTADO EM ARGAMASSA TRAÇO 1:4 (CIMENTO E AREIA MÉDIA), PREPARO MANUAL, JUNTA 1 CM. INC_11/2016</v>
          </cell>
          <cell r="C32" t="str">
            <v>m²</v>
          </cell>
          <cell r="D32">
            <v>33.25</v>
          </cell>
          <cell r="E32">
            <v>0</v>
          </cell>
          <cell r="F32">
            <v>0</v>
          </cell>
          <cell r="G32">
            <v>0</v>
          </cell>
          <cell r="H32">
            <v>33.25</v>
          </cell>
          <cell r="I32">
            <v>124.52</v>
          </cell>
          <cell r="J32">
            <v>4140.29</v>
          </cell>
          <cell r="K32">
            <v>0</v>
          </cell>
          <cell r="L32">
            <v>0</v>
          </cell>
          <cell r="M32"/>
          <cell r="N32">
            <v>4140.29</v>
          </cell>
        </row>
        <row r="33">
          <cell r="A33">
            <v>6</v>
          </cell>
          <cell r="B33" t="str">
            <v>COBERTURA</v>
          </cell>
          <cell r="C33"/>
          <cell r="D33"/>
          <cell r="E33"/>
          <cell r="F33"/>
          <cell r="G33"/>
          <cell r="H33"/>
          <cell r="I33"/>
          <cell r="J33">
            <v>53217</v>
          </cell>
          <cell r="K33">
            <v>16150.589999999998</v>
          </cell>
          <cell r="L33">
            <v>0</v>
          </cell>
          <cell r="M33"/>
          <cell r="N33">
            <v>69367.59</v>
          </cell>
        </row>
        <row r="34">
          <cell r="A34" t="str">
            <v xml:space="preserve">6.1 </v>
          </cell>
          <cell r="B34" t="str">
            <v>TELHAMENTO COM TELHA DE AÇO/ALUMÍNIO E = 0,5 MM, COM ATÉ 2 ÁGUAS, INCLUSO IÇAMENTO. AF_07/2019</v>
          </cell>
          <cell r="C34" t="str">
            <v>m²</v>
          </cell>
          <cell r="D34">
            <v>657</v>
          </cell>
          <cell r="E34">
            <v>199.39</v>
          </cell>
          <cell r="F34">
            <v>0</v>
          </cell>
          <cell r="G34">
            <v>0</v>
          </cell>
          <cell r="H34">
            <v>856.39</v>
          </cell>
          <cell r="I34">
            <v>81</v>
          </cell>
          <cell r="J34">
            <v>53217</v>
          </cell>
          <cell r="K34">
            <v>16150.589999999998</v>
          </cell>
          <cell r="L34">
            <v>0</v>
          </cell>
          <cell r="M34"/>
          <cell r="N34">
            <v>69367.59</v>
          </cell>
        </row>
        <row r="35">
          <cell r="A35">
            <v>7</v>
          </cell>
          <cell r="B35" t="str">
            <v>INSTALAÇÕES ELÉTRICAS</v>
          </cell>
          <cell r="C35"/>
          <cell r="D35"/>
          <cell r="E35"/>
          <cell r="F35"/>
          <cell r="G35"/>
          <cell r="H35"/>
          <cell r="I35"/>
          <cell r="J35">
            <v>18336.480000000003</v>
          </cell>
          <cell r="K35">
            <v>0</v>
          </cell>
          <cell r="L35">
            <v>0</v>
          </cell>
          <cell r="M35"/>
          <cell r="N35">
            <v>18336.480000000003</v>
          </cell>
        </row>
        <row r="36">
          <cell r="A36" t="str">
            <v xml:space="preserve">7.1 </v>
          </cell>
          <cell r="B36" t="str">
            <v>REFLETOR SLIM LED 100W DE POTÊNCIA, BRANCO FRIO, 6500K, AUTOVOLT, MARCA G-LIGHT OU SIMILAR</v>
          </cell>
          <cell r="C36" t="str">
            <v>UN</v>
          </cell>
          <cell r="D36">
            <v>30</v>
          </cell>
          <cell r="E36">
            <v>0</v>
          </cell>
          <cell r="F36">
            <v>0</v>
          </cell>
          <cell r="G36">
            <v>0</v>
          </cell>
          <cell r="H36">
            <v>30</v>
          </cell>
          <cell r="I36">
            <v>93.45</v>
          </cell>
          <cell r="J36">
            <v>2803.5</v>
          </cell>
          <cell r="K36">
            <v>0</v>
          </cell>
          <cell r="L36">
            <v>0</v>
          </cell>
          <cell r="M36"/>
          <cell r="N36">
            <v>2803.5</v>
          </cell>
        </row>
        <row r="37">
          <cell r="A37" t="str">
            <v>7.2</v>
          </cell>
          <cell r="B37" t="str">
            <v>ELETRODUTO RÍGIDO SOLDÁVEL, PVC, DN 32 MM (1"), APARENTE - FORNECIMENTO E INSTALAÇÃO. AF_10/2022</v>
          </cell>
          <cell r="C37" t="str">
            <v>M</v>
          </cell>
          <cell r="D37">
            <v>200</v>
          </cell>
          <cell r="E37">
            <v>0</v>
          </cell>
          <cell r="F37">
            <v>0</v>
          </cell>
          <cell r="G37">
            <v>0</v>
          </cell>
          <cell r="H37">
            <v>200</v>
          </cell>
          <cell r="I37">
            <v>29.89</v>
          </cell>
          <cell r="J37">
            <v>5978</v>
          </cell>
          <cell r="K37">
            <v>0</v>
          </cell>
          <cell r="L37">
            <v>0</v>
          </cell>
          <cell r="M37"/>
          <cell r="N37">
            <v>5978</v>
          </cell>
        </row>
        <row r="38">
          <cell r="A38" t="str">
            <v>7.3</v>
          </cell>
          <cell r="B38" t="str">
            <v>CURVA 90° PVC RIGIDO SOLDAVEL MARROM, D= 32MM (1''), APARENTE - FORNECIMENTO E INSTALAÇÃO.</v>
          </cell>
          <cell r="C38" t="str">
            <v>UN</v>
          </cell>
          <cell r="D38">
            <v>10</v>
          </cell>
          <cell r="E38">
            <v>0</v>
          </cell>
          <cell r="F38">
            <v>0</v>
          </cell>
          <cell r="G38">
            <v>0</v>
          </cell>
          <cell r="H38">
            <v>10</v>
          </cell>
          <cell r="I38">
            <v>23.71</v>
          </cell>
          <cell r="J38">
            <v>237.1</v>
          </cell>
          <cell r="K38">
            <v>0</v>
          </cell>
          <cell r="L38">
            <v>0</v>
          </cell>
          <cell r="M38"/>
          <cell r="N38">
            <v>237.1</v>
          </cell>
        </row>
        <row r="39">
          <cell r="A39" t="str">
            <v>7.4</v>
          </cell>
          <cell r="B39" t="str">
            <v>CONDULETE DE PVC, TIPO C, PARA ELETRODUTO DE PVC SOLDÁVEL DN 32 MM (1''), APARENTE - FORNECIMENTO E INSTALAÇÃO. AF_10/2022</v>
          </cell>
          <cell r="C39" t="str">
            <v>UN</v>
          </cell>
          <cell r="D39">
            <v>21</v>
          </cell>
          <cell r="E39">
            <v>0</v>
          </cell>
          <cell r="F39">
            <v>0</v>
          </cell>
          <cell r="G39">
            <v>0</v>
          </cell>
          <cell r="H39">
            <v>21</v>
          </cell>
          <cell r="I39">
            <v>37.26</v>
          </cell>
          <cell r="J39">
            <v>782.46</v>
          </cell>
          <cell r="K39">
            <v>0</v>
          </cell>
          <cell r="L39">
            <v>0</v>
          </cell>
          <cell r="M39"/>
          <cell r="N39">
            <v>782.46</v>
          </cell>
        </row>
        <row r="40">
          <cell r="A40" t="str">
            <v>7.5</v>
          </cell>
          <cell r="B40" t="str">
            <v>CONDULETE DE PVC, TIPO E, PARA ELETRODUTO DE PVC SOLDÁVEL DN 32 MM (1''), APARENTE - FORNECIMENTO E INSTALAÇÃO. AF_10/2022</v>
          </cell>
          <cell r="C40" t="str">
            <v>UN</v>
          </cell>
          <cell r="D40">
            <v>3</v>
          </cell>
          <cell r="E40">
            <v>0</v>
          </cell>
          <cell r="F40">
            <v>0</v>
          </cell>
          <cell r="G40">
            <v>0</v>
          </cell>
          <cell r="H40">
            <v>3</v>
          </cell>
          <cell r="I40">
            <v>30.4</v>
          </cell>
          <cell r="J40">
            <v>91.2</v>
          </cell>
          <cell r="K40">
            <v>0</v>
          </cell>
          <cell r="L40">
            <v>0</v>
          </cell>
          <cell r="M40"/>
          <cell r="N40">
            <v>91.2</v>
          </cell>
        </row>
        <row r="41">
          <cell r="A41" t="str">
            <v>7.6</v>
          </cell>
          <cell r="B41" t="str">
            <v>CONDULETE DE PVC, TIPO T, PARA ELETRODUTO DE PVC SOLDÁVEL DN 32 MM (1''), APARENTE - FORNECIMENTO E INSTALAÇÃO. AF_10/2022</v>
          </cell>
          <cell r="C41" t="str">
            <v>UN</v>
          </cell>
          <cell r="D41">
            <v>3</v>
          </cell>
          <cell r="E41">
            <v>0</v>
          </cell>
          <cell r="F41">
            <v>0</v>
          </cell>
          <cell r="G41">
            <v>0</v>
          </cell>
          <cell r="H41">
            <v>3</v>
          </cell>
          <cell r="I41">
            <v>52.31</v>
          </cell>
          <cell r="J41">
            <v>156.93</v>
          </cell>
          <cell r="K41">
            <v>0</v>
          </cell>
          <cell r="L41">
            <v>0</v>
          </cell>
          <cell r="M41"/>
          <cell r="N41">
            <v>156.93</v>
          </cell>
        </row>
        <row r="42">
          <cell r="A42" t="str">
            <v>7.7</v>
          </cell>
          <cell r="B42" t="str">
            <v>CABO DE COBRE FLEXÍVEL ISOLADO, 2,5 MM², ANTI-CHAMA 450/750 V, PARA CIRCUITOS TERMINAIS - FORNECIMENTO E INSTALAÇÃO. AF_03/2023</v>
          </cell>
          <cell r="C42" t="str">
            <v>M</v>
          </cell>
          <cell r="D42">
            <v>840</v>
          </cell>
          <cell r="E42">
            <v>0</v>
          </cell>
          <cell r="F42">
            <v>0</v>
          </cell>
          <cell r="G42">
            <v>0</v>
          </cell>
          <cell r="H42">
            <v>840</v>
          </cell>
          <cell r="I42">
            <v>5.38</v>
          </cell>
          <cell r="J42">
            <v>4519.2</v>
          </cell>
          <cell r="K42">
            <v>0</v>
          </cell>
          <cell r="L42">
            <v>0</v>
          </cell>
          <cell r="M42"/>
          <cell r="N42">
            <v>4519.2</v>
          </cell>
        </row>
        <row r="43">
          <cell r="A43" t="str">
            <v>7.8</v>
          </cell>
          <cell r="B43" t="str">
            <v>CABO DE COBRE FLEXÍVEL ISOLADO, 4 MM², ANTI-CHAMA 450/750 V, PARA CIRCUITOS TERMINAIS - FORNECIMENTO E INSTALAÇÃO. AF_03/2023</v>
          </cell>
          <cell r="C43" t="str">
            <v>M</v>
          </cell>
          <cell r="D43">
            <v>360</v>
          </cell>
          <cell r="E43">
            <v>0</v>
          </cell>
          <cell r="F43">
            <v>0</v>
          </cell>
          <cell r="G43">
            <v>0</v>
          </cell>
          <cell r="H43">
            <v>360</v>
          </cell>
          <cell r="I43">
            <v>8.32</v>
          </cell>
          <cell r="J43">
            <v>2995.2</v>
          </cell>
          <cell r="K43">
            <v>0</v>
          </cell>
          <cell r="L43">
            <v>0</v>
          </cell>
          <cell r="M43"/>
          <cell r="N43">
            <v>2995.2</v>
          </cell>
        </row>
        <row r="44">
          <cell r="A44" t="str">
            <v>7.9</v>
          </cell>
          <cell r="B44" t="str">
            <v>CABO DE COBRE FLEXÍVEL ISOLADO, 6 MM², ANTI-CHAMA 450/750 V, PARA CIRCUITOS TERMINAIS - FORNECIMENTO E INSTALAÇÃO. AF_03/2023</v>
          </cell>
          <cell r="C44" t="str">
            <v>M</v>
          </cell>
          <cell r="D44">
            <v>12</v>
          </cell>
          <cell r="E44">
            <v>0</v>
          </cell>
          <cell r="F44">
            <v>0</v>
          </cell>
          <cell r="G44">
            <v>0</v>
          </cell>
          <cell r="H44">
            <v>12</v>
          </cell>
          <cell r="I44">
            <v>11.67</v>
          </cell>
          <cell r="J44">
            <v>140.04</v>
          </cell>
          <cell r="K44">
            <v>0</v>
          </cell>
          <cell r="L44">
            <v>0</v>
          </cell>
          <cell r="M44"/>
          <cell r="N44">
            <v>140.04</v>
          </cell>
        </row>
        <row r="45">
          <cell r="A45" t="str">
            <v>7.10</v>
          </cell>
          <cell r="B45" t="str">
            <v>QUADRO DE DISTRIBUICAO, EM PVC, DE EMBUTIR, COM BARRAMENTO TERRA / NEUTRO, PARA 12 DISJUNTORES NEMA OU 16 DISJUNTORES DIN - FORNECIMENTO E INSTALAÇÃO</v>
          </cell>
          <cell r="C45" t="str">
            <v>UN</v>
          </cell>
          <cell r="D45">
            <v>1</v>
          </cell>
          <cell r="E45">
            <v>0</v>
          </cell>
          <cell r="F45">
            <v>0</v>
          </cell>
          <cell r="G45">
            <v>0</v>
          </cell>
          <cell r="H45">
            <v>1</v>
          </cell>
          <cell r="I45">
            <v>215.42</v>
          </cell>
          <cell r="J45">
            <v>215.42</v>
          </cell>
          <cell r="K45">
            <v>0</v>
          </cell>
          <cell r="L45">
            <v>0</v>
          </cell>
          <cell r="M45"/>
          <cell r="N45">
            <v>215.42</v>
          </cell>
        </row>
        <row r="46">
          <cell r="A46" t="str">
            <v>7.11</v>
          </cell>
          <cell r="B46" t="str">
            <v>DISJUNTOR MONOPOLAR TIPO DIN, CORRENTE NOMINAL DE 32A - FORNECIMENTO E INSTALAÇÃO. AF_07/2025</v>
          </cell>
          <cell r="C46" t="str">
            <v>UN</v>
          </cell>
          <cell r="D46">
            <v>1</v>
          </cell>
          <cell r="E46">
            <v>0</v>
          </cell>
          <cell r="F46">
            <v>0</v>
          </cell>
          <cell r="G46">
            <v>0</v>
          </cell>
          <cell r="H46">
            <v>1</v>
          </cell>
          <cell r="I46">
            <v>17.079999999999998</v>
          </cell>
          <cell r="J46">
            <v>17.079999999999998</v>
          </cell>
          <cell r="K46">
            <v>0</v>
          </cell>
          <cell r="L46">
            <v>0</v>
          </cell>
          <cell r="M46"/>
          <cell r="N46">
            <v>17.079999999999998</v>
          </cell>
        </row>
        <row r="47">
          <cell r="A47" t="str">
            <v>7.12</v>
          </cell>
          <cell r="B47" t="str">
            <v>DISJUNTOR MONOPOLAR TIPO DIN, CORRENTE NOMINAL DE 20A - FORNECIMENTO E INSTALAÇÃO. AF_07/2025</v>
          </cell>
          <cell r="C47" t="str">
            <v>UN</v>
          </cell>
          <cell r="D47">
            <v>2</v>
          </cell>
          <cell r="E47">
            <v>0</v>
          </cell>
          <cell r="F47">
            <v>0</v>
          </cell>
          <cell r="G47">
            <v>0</v>
          </cell>
          <cell r="H47">
            <v>2</v>
          </cell>
          <cell r="I47">
            <v>14.51</v>
          </cell>
          <cell r="J47">
            <v>29.02</v>
          </cell>
          <cell r="K47">
            <v>0</v>
          </cell>
          <cell r="L47">
            <v>0</v>
          </cell>
          <cell r="M47"/>
          <cell r="N47">
            <v>29.02</v>
          </cell>
        </row>
        <row r="48">
          <cell r="A48" t="str">
            <v>7.13</v>
          </cell>
          <cell r="B48" t="str">
            <v>DISJUNTOR BIPOLAR TIPO DR, CORRENTE NOMINAL DE 40A SENSIBILIDADE DE 30MA - FORNECIMENTO E INSTALAÇÃO.</v>
          </cell>
          <cell r="C48" t="str">
            <v>UN</v>
          </cell>
          <cell r="D48">
            <v>1</v>
          </cell>
          <cell r="E48">
            <v>0</v>
          </cell>
          <cell r="F48">
            <v>0</v>
          </cell>
          <cell r="G48">
            <v>0</v>
          </cell>
          <cell r="H48">
            <v>1</v>
          </cell>
          <cell r="I48">
            <v>186.05</v>
          </cell>
          <cell r="J48">
            <v>186.05</v>
          </cell>
          <cell r="K48">
            <v>0</v>
          </cell>
          <cell r="L48">
            <v>0</v>
          </cell>
          <cell r="M48"/>
          <cell r="N48">
            <v>186.05</v>
          </cell>
        </row>
        <row r="49">
          <cell r="A49" t="str">
            <v>7.14</v>
          </cell>
          <cell r="B49" t="str">
            <v>DISPOSITIVO DE PROTEÇÃO CONTRA SURTO DE TENSÃO DPS 20KA - 275V. INC_05/2017</v>
          </cell>
          <cell r="C49" t="str">
            <v>un</v>
          </cell>
          <cell r="D49">
            <v>2</v>
          </cell>
          <cell r="E49">
            <v>0</v>
          </cell>
          <cell r="F49">
            <v>0</v>
          </cell>
          <cell r="G49">
            <v>0</v>
          </cell>
          <cell r="H49">
            <v>2</v>
          </cell>
          <cell r="I49">
            <v>92.64</v>
          </cell>
          <cell r="J49">
            <v>185.28</v>
          </cell>
          <cell r="K49">
            <v>0</v>
          </cell>
          <cell r="L49">
            <v>0</v>
          </cell>
          <cell r="M49"/>
          <cell r="N49">
            <v>185.28</v>
          </cell>
        </row>
        <row r="50">
          <cell r="A50">
            <v>8</v>
          </cell>
          <cell r="B50" t="str">
            <v>INSTALAÇÕES HIDROSSANITÁRIAS</v>
          </cell>
          <cell r="C50"/>
          <cell r="D50"/>
          <cell r="E50"/>
          <cell r="F50"/>
          <cell r="G50"/>
          <cell r="H50"/>
          <cell r="I50"/>
          <cell r="J50">
            <v>15542.66</v>
          </cell>
          <cell r="K50">
            <v>870.95399999999995</v>
          </cell>
          <cell r="L50">
            <v>0</v>
          </cell>
          <cell r="M50"/>
          <cell r="N50">
            <v>16413.61</v>
          </cell>
        </row>
        <row r="51">
          <cell r="A51" t="str">
            <v xml:space="preserve">8.1 </v>
          </cell>
          <cell r="B51" t="str">
            <v>CALHA EM CHAPA DE AÇO GALVANIZADO NÚMERO 24, DESENVOLVIMENTO DE 100 CM, INCLUSO TRANSPORTE VERTICAL. AF_07/2019</v>
          </cell>
          <cell r="C51" t="str">
            <v>M</v>
          </cell>
          <cell r="D51">
            <v>65.7</v>
          </cell>
          <cell r="E51">
            <v>5.34</v>
          </cell>
          <cell r="F51">
            <v>0</v>
          </cell>
          <cell r="G51">
            <v>0</v>
          </cell>
          <cell r="H51">
            <v>71.040000000000006</v>
          </cell>
          <cell r="I51">
            <v>163.1</v>
          </cell>
          <cell r="J51">
            <v>10715.67</v>
          </cell>
          <cell r="K51">
            <v>870.95399999999995</v>
          </cell>
          <cell r="L51">
            <v>0</v>
          </cell>
          <cell r="M51"/>
          <cell r="N51">
            <v>11586.62</v>
          </cell>
        </row>
        <row r="52">
          <cell r="A52" t="str">
            <v>8.2</v>
          </cell>
          <cell r="B52" t="str">
            <v>JOELHO 90 GRAUS, PVC, SERIE R, ÁGUA PLUVIAL, DN 100 MM, JUNTA ELÁSTICA, FORNECIDO E INSTALADO EM CONDUTORES VERTICAIS DE ÁGUAS PLUVIAIS. AF_06/2022</v>
          </cell>
          <cell r="C52" t="str">
            <v>UN</v>
          </cell>
          <cell r="D52">
            <v>42</v>
          </cell>
          <cell r="E52">
            <v>0</v>
          </cell>
          <cell r="F52">
            <v>0</v>
          </cell>
          <cell r="G52">
            <v>0</v>
          </cell>
          <cell r="H52">
            <v>42</v>
          </cell>
          <cell r="I52">
            <v>48.32</v>
          </cell>
          <cell r="J52">
            <v>2029.44</v>
          </cell>
          <cell r="K52">
            <v>0</v>
          </cell>
          <cell r="L52">
            <v>0</v>
          </cell>
          <cell r="M52"/>
          <cell r="N52">
            <v>2029.44</v>
          </cell>
        </row>
        <row r="53">
          <cell r="A53" t="str">
            <v>8.3</v>
          </cell>
          <cell r="B53" t="str">
            <v>TUBO PVC, SÉRIE R, ÁGUA PLUVIAL, DN 100 MM, FORNECIDO E INSTALADO EM CONDUTORES VERTICAIS DE ÁGUAS PLUVIAIS. AF_06/2022</v>
          </cell>
          <cell r="C53" t="str">
            <v>M</v>
          </cell>
          <cell r="D53">
            <v>70</v>
          </cell>
          <cell r="E53">
            <v>0</v>
          </cell>
          <cell r="F53">
            <v>0</v>
          </cell>
          <cell r="G53">
            <v>0</v>
          </cell>
          <cell r="H53">
            <v>70</v>
          </cell>
          <cell r="I53">
            <v>34.65</v>
          </cell>
          <cell r="J53">
            <v>2425.5</v>
          </cell>
          <cell r="K53">
            <v>0</v>
          </cell>
          <cell r="L53">
            <v>0</v>
          </cell>
          <cell r="M53"/>
          <cell r="N53">
            <v>2425.5</v>
          </cell>
        </row>
        <row r="54">
          <cell r="A54" t="str">
            <v>8.4</v>
          </cell>
          <cell r="B54" t="str">
            <v>TUBO PVC, SÉRIE R, ÁGUA PLUVIAL, DN 100 MM, FORNECIDO E INSTALADO EM RAMAL DE ENCAMINHAMENTO. AF_06/2022</v>
          </cell>
          <cell r="C54" t="str">
            <v>M</v>
          </cell>
          <cell r="D54">
            <v>7</v>
          </cell>
          <cell r="E54">
            <v>0</v>
          </cell>
          <cell r="F54">
            <v>0</v>
          </cell>
          <cell r="G54">
            <v>0</v>
          </cell>
          <cell r="H54">
            <v>7</v>
          </cell>
          <cell r="I54">
            <v>53.15</v>
          </cell>
          <cell r="J54">
            <v>372.05</v>
          </cell>
          <cell r="K54">
            <v>0</v>
          </cell>
          <cell r="L54">
            <v>0</v>
          </cell>
          <cell r="M54"/>
          <cell r="N54">
            <v>372.05</v>
          </cell>
        </row>
        <row r="55">
          <cell r="A55">
            <v>9</v>
          </cell>
          <cell r="B55" t="str">
            <v>PAVIMENTAÇÃO</v>
          </cell>
          <cell r="C55"/>
          <cell r="D55"/>
          <cell r="E55"/>
          <cell r="F55"/>
          <cell r="G55"/>
          <cell r="H55"/>
          <cell r="I55"/>
          <cell r="J55">
            <v>3127.23</v>
          </cell>
          <cell r="K55">
            <v>9737.6684999999998</v>
          </cell>
          <cell r="L55">
            <v>0</v>
          </cell>
          <cell r="M55"/>
          <cell r="N55">
            <v>12864.900000000001</v>
          </cell>
        </row>
        <row r="56">
          <cell r="A56" t="str">
            <v xml:space="preserve">9.1 </v>
          </cell>
          <cell r="B56" t="str">
            <v>LASTRO DE CONCRETO MAGRO, APLICADO EM PISOS, LAJES SOBRE SOLO OU RADIERS. AF_01/2024</v>
          </cell>
          <cell r="C56" t="str">
            <v>m³</v>
          </cell>
          <cell r="D56">
            <v>1.86</v>
          </cell>
          <cell r="E56">
            <v>3.33</v>
          </cell>
          <cell r="F56">
            <v>0</v>
          </cell>
          <cell r="G56">
            <v>0</v>
          </cell>
          <cell r="H56">
            <v>5.19</v>
          </cell>
          <cell r="I56">
            <v>839.17</v>
          </cell>
          <cell r="J56">
            <v>1560.85</v>
          </cell>
          <cell r="K56">
            <v>2794.4360999999999</v>
          </cell>
          <cell r="L56">
            <v>0</v>
          </cell>
          <cell r="M56"/>
          <cell r="N56">
            <v>4355.29</v>
          </cell>
        </row>
        <row r="57">
          <cell r="A57" t="str">
            <v xml:space="preserve">9.2 </v>
          </cell>
          <cell r="B57" t="str">
            <v>PISO CIMENTADO, TRAÇO 1:3 (CIMENTO E AREIA), ACABAMENTO RÚSTICO, ESPESSURA 3,0 CM, PREPARO MECÂNICO DA ARGAMASSA. AF_09/2020</v>
          </cell>
          <cell r="C57" t="str">
            <v>m²</v>
          </cell>
          <cell r="D57">
            <v>31.85</v>
          </cell>
          <cell r="E57">
            <v>141.18</v>
          </cell>
          <cell r="F57">
            <v>0</v>
          </cell>
          <cell r="G57">
            <v>0</v>
          </cell>
          <cell r="H57">
            <v>173.03</v>
          </cell>
          <cell r="I57">
            <v>49.18</v>
          </cell>
          <cell r="J57">
            <v>1566.38</v>
          </cell>
          <cell r="K57">
            <v>6943.2323999999999</v>
          </cell>
          <cell r="L57">
            <v>0</v>
          </cell>
          <cell r="M57"/>
          <cell r="N57">
            <v>8509.61</v>
          </cell>
        </row>
        <row r="58">
          <cell r="A58">
            <v>10</v>
          </cell>
          <cell r="B58" t="str">
            <v>REVESTIMENTOS</v>
          </cell>
          <cell r="C58"/>
          <cell r="D58"/>
          <cell r="E58"/>
          <cell r="F58"/>
          <cell r="G58"/>
          <cell r="H58"/>
          <cell r="I58"/>
          <cell r="J58">
            <v>2295.91</v>
          </cell>
          <cell r="K58">
            <v>0</v>
          </cell>
          <cell r="L58">
            <v>0</v>
          </cell>
          <cell r="M58"/>
          <cell r="N58">
            <v>2295.91</v>
          </cell>
        </row>
        <row r="59">
          <cell r="A59" t="str">
            <v xml:space="preserve">10.1 </v>
          </cell>
          <cell r="B59" t="str">
            <v>CHAPISCO APLICADO EM ALVENARIA (SEM PRESENÇA DE VÃOS) E ESTRUTURAS DE CONCRETO DE FACHADA, COM COLHER DE PEDREIRO. ARGAMASSA TRAÇO 1:3 COM PREPARO EM BETONEIRA 400L. AF_10/2022</v>
          </cell>
          <cell r="C59" t="str">
            <v>m²</v>
          </cell>
          <cell r="D59">
            <v>33.25</v>
          </cell>
          <cell r="E59">
            <v>0</v>
          </cell>
          <cell r="F59">
            <v>0</v>
          </cell>
          <cell r="G59">
            <v>0</v>
          </cell>
          <cell r="H59">
            <v>33.25</v>
          </cell>
          <cell r="I59">
            <v>7.81</v>
          </cell>
          <cell r="J59">
            <v>259.68</v>
          </cell>
          <cell r="K59">
            <v>0</v>
          </cell>
          <cell r="L59">
            <v>0</v>
          </cell>
          <cell r="M59"/>
          <cell r="N59">
            <v>259.68</v>
          </cell>
        </row>
        <row r="60">
          <cell r="A60" t="str">
            <v>10.2</v>
          </cell>
          <cell r="B60" t="str">
            <v>EMBOÇO OU MASSA ÚNICA EM ARGAMASSA TRAÇO 1:2:8, PREPARO MECÂNICO COM BETONEIRA 400 L, APLICADA MANUALMENTE EM PANOS DE FACHADA COM PRESENÇA DE VÃOS, ESPESSURA DE 25 MM. AF_08/2022</v>
          </cell>
          <cell r="C60" t="str">
            <v>m²</v>
          </cell>
          <cell r="D60">
            <v>33.25</v>
          </cell>
          <cell r="E60">
            <v>0</v>
          </cell>
          <cell r="F60">
            <v>0</v>
          </cell>
          <cell r="G60">
            <v>0</v>
          </cell>
          <cell r="H60">
            <v>33.25</v>
          </cell>
          <cell r="I60">
            <v>61.24</v>
          </cell>
          <cell r="J60">
            <v>2036.23</v>
          </cell>
          <cell r="K60">
            <v>0</v>
          </cell>
          <cell r="L60">
            <v>0</v>
          </cell>
          <cell r="M60"/>
          <cell r="N60">
            <v>2036.23</v>
          </cell>
        </row>
        <row r="61">
          <cell r="A61">
            <v>11</v>
          </cell>
          <cell r="B61" t="str">
            <v>PINTURA</v>
          </cell>
          <cell r="C61"/>
          <cell r="D61"/>
          <cell r="E61"/>
          <cell r="F61"/>
          <cell r="G61"/>
          <cell r="H61"/>
          <cell r="I61"/>
          <cell r="J61">
            <v>379.38</v>
          </cell>
          <cell r="K61">
            <v>0</v>
          </cell>
          <cell r="L61">
            <v>0</v>
          </cell>
          <cell r="M61"/>
          <cell r="N61">
            <v>379.38</v>
          </cell>
        </row>
        <row r="62">
          <cell r="A62" t="str">
            <v xml:space="preserve">11.1 </v>
          </cell>
          <cell r="B62" t="str">
            <v>CAIAÇÃO DE PAREDE COM 03 DEMÃOS. R_05/2021</v>
          </cell>
          <cell r="C62" t="str">
            <v>m²</v>
          </cell>
          <cell r="D62">
            <v>33.25</v>
          </cell>
          <cell r="E62">
            <v>0</v>
          </cell>
          <cell r="F62">
            <v>0</v>
          </cell>
          <cell r="G62">
            <v>0</v>
          </cell>
          <cell r="H62">
            <v>33.25</v>
          </cell>
          <cell r="I62">
            <v>11.41</v>
          </cell>
          <cell r="J62">
            <v>379.38</v>
          </cell>
          <cell r="K62">
            <v>0</v>
          </cell>
          <cell r="L62">
            <v>0</v>
          </cell>
          <cell r="M62"/>
          <cell r="N62">
            <v>379.38</v>
          </cell>
        </row>
        <row r="63">
          <cell r="A63">
            <v>12</v>
          </cell>
          <cell r="B63" t="str">
            <v>SERVIÇOS COMPLEMENTARES</v>
          </cell>
          <cell r="C63"/>
          <cell r="D63"/>
          <cell r="E63"/>
          <cell r="F63"/>
          <cell r="G63"/>
          <cell r="H63"/>
          <cell r="I63"/>
          <cell r="J63">
            <v>5106.3999999999996</v>
          </cell>
          <cell r="K63">
            <v>1156.2287999999999</v>
          </cell>
          <cell r="L63">
            <v>0</v>
          </cell>
          <cell r="M63"/>
          <cell r="N63">
            <v>6262.6100000000006</v>
          </cell>
        </row>
        <row r="64">
          <cell r="A64" t="str">
            <v xml:space="preserve">12.1 </v>
          </cell>
          <cell r="B64" t="str">
            <v>CARGA, MANOBRA E DESCARGA DE ENTULHO EM CAMINHÃO BASCULANTE 6 M³ - CARGA COM ESCAVADEIRA HIDRÁULICA (CAÇAMBA DE 0,80 M³ / 111 HP) E DESCARGA LIVRE (UNIDADE: M3). AF_07/2020</v>
          </cell>
          <cell r="C64" t="str">
            <v>m³</v>
          </cell>
          <cell r="D64">
            <v>36</v>
          </cell>
          <cell r="E64">
            <v>7.23</v>
          </cell>
          <cell r="F64">
            <v>0</v>
          </cell>
          <cell r="G64">
            <v>0</v>
          </cell>
          <cell r="H64">
            <v>43.23</v>
          </cell>
          <cell r="I64">
            <v>11.24</v>
          </cell>
          <cell r="J64">
            <v>404.64</v>
          </cell>
          <cell r="K64">
            <v>81.265200000000007</v>
          </cell>
          <cell r="L64">
            <v>0</v>
          </cell>
          <cell r="M64"/>
          <cell r="N64">
            <v>485.9</v>
          </cell>
        </row>
        <row r="65">
          <cell r="A65" t="str">
            <v>12.2</v>
          </cell>
          <cell r="B65" t="str">
            <v>TRANSPORTE COM CAMINHÃO BASCULANTE DE 6 M³, EM VIA URBANA PAVIMENTADA, DMT ATÉ 30 KM (UNIDADE: M3XKM). AF_07/2020</v>
          </cell>
          <cell r="C65" t="str">
            <v>M3XKM</v>
          </cell>
          <cell r="D65">
            <v>360</v>
          </cell>
          <cell r="E65">
            <v>72.34</v>
          </cell>
          <cell r="F65">
            <v>0</v>
          </cell>
          <cell r="G65">
            <v>0</v>
          </cell>
          <cell r="H65">
            <v>432.34</v>
          </cell>
          <cell r="I65">
            <v>3.46</v>
          </cell>
          <cell r="J65">
            <v>1245.5999999999999</v>
          </cell>
          <cell r="K65">
            <v>250.29640000000001</v>
          </cell>
          <cell r="L65">
            <v>0</v>
          </cell>
          <cell r="M65"/>
          <cell r="N65">
            <v>1495.89</v>
          </cell>
        </row>
        <row r="66">
          <cell r="A66" t="str">
            <v>12.3</v>
          </cell>
          <cell r="B66" t="str">
            <v>DESMOBILIZAÇÃO DE EQUIPAMENTOS EM CAMINHÃO EQUIPADO COM GUINDASTE</v>
          </cell>
          <cell r="C66" t="str">
            <v>KM</v>
          </cell>
          <cell r="D66">
            <v>50</v>
          </cell>
          <cell r="E66">
            <v>63</v>
          </cell>
          <cell r="F66">
            <v>0</v>
          </cell>
          <cell r="G66">
            <v>0</v>
          </cell>
          <cell r="H66">
            <v>113</v>
          </cell>
          <cell r="I66">
            <v>5</v>
          </cell>
          <cell r="J66">
            <v>250</v>
          </cell>
          <cell r="K66">
            <v>315</v>
          </cell>
          <cell r="L66">
            <v>0</v>
          </cell>
          <cell r="M66"/>
          <cell r="N66">
            <v>565</v>
          </cell>
        </row>
        <row r="67">
          <cell r="A67" t="str">
            <v>12.4</v>
          </cell>
          <cell r="B67" t="str">
            <v>LIMPEZA FINAL DE OBRA. INC_05/2019</v>
          </cell>
          <cell r="C67" t="str">
            <v>m²</v>
          </cell>
          <cell r="D67">
            <v>657</v>
          </cell>
          <cell r="E67">
            <v>104.44</v>
          </cell>
          <cell r="F67">
            <v>0</v>
          </cell>
          <cell r="G67">
            <v>0</v>
          </cell>
          <cell r="H67">
            <v>761.44</v>
          </cell>
          <cell r="I67">
            <v>4.88</v>
          </cell>
          <cell r="J67">
            <v>3206.16</v>
          </cell>
          <cell r="K67">
            <v>509.66719999999998</v>
          </cell>
          <cell r="L67">
            <v>0</v>
          </cell>
          <cell r="M67"/>
          <cell r="N67">
            <v>3715.82</v>
          </cell>
        </row>
        <row r="68">
          <cell r="A68">
            <v>13</v>
          </cell>
          <cell r="B68" t="str">
            <v>1ª READEQUAÇÃO - ITENS NOVOS</v>
          </cell>
          <cell r="C68"/>
          <cell r="D68"/>
          <cell r="E68"/>
          <cell r="F68"/>
          <cell r="G68"/>
          <cell r="H68"/>
          <cell r="I68"/>
          <cell r="J68"/>
          <cell r="K68"/>
          <cell r="L68"/>
          <cell r="M68">
            <v>55467.684199000003</v>
          </cell>
          <cell r="N68"/>
        </row>
        <row r="69">
          <cell r="A69" t="str">
            <v>13.1</v>
          </cell>
          <cell r="B69" t="str">
            <v>SERVIÇOS PRELIMINARES</v>
          </cell>
          <cell r="C69"/>
          <cell r="D69"/>
          <cell r="E69"/>
          <cell r="F69"/>
          <cell r="G69"/>
          <cell r="H69"/>
          <cell r="I69"/>
          <cell r="J69"/>
          <cell r="K69"/>
          <cell r="L69"/>
          <cell r="M69"/>
          <cell r="N69"/>
        </row>
        <row r="70">
          <cell r="A70" t="str">
            <v>13.1.1</v>
          </cell>
          <cell r="B70" t="str">
            <v>PROJETO ESTRUTURAL - AÇO/ALUMÍNIO/MADEIRA. OBSERVAÇÃO: ÁREA DE PROJEÇÃO.</v>
          </cell>
          <cell r="C70" t="str">
            <v>m²</v>
          </cell>
          <cell r="D70"/>
          <cell r="E70"/>
          <cell r="F70"/>
          <cell r="G70">
            <v>761.43899999999996</v>
          </cell>
          <cell r="H70"/>
          <cell r="I70">
            <v>8.82</v>
          </cell>
          <cell r="J70"/>
          <cell r="K70"/>
          <cell r="L70"/>
          <cell r="M70">
            <v>6715.8919800000003</v>
          </cell>
          <cell r="N70">
            <v>0</v>
          </cell>
        </row>
        <row r="71">
          <cell r="A71" t="str">
            <v>13.1.2</v>
          </cell>
          <cell r="B71" t="str">
            <v>LOCAÇÃO CONVENCIONAL DE OBRA, UTILIZANDO GABARITO DE TÁBUAS CORRIDAS PONTALETADAS A CADA 1,50M - 2 UTILIZAÇÕES. AF_03/2024</v>
          </cell>
          <cell r="C71" t="str">
            <v>m</v>
          </cell>
          <cell r="D71"/>
          <cell r="E71"/>
          <cell r="F71"/>
          <cell r="G71">
            <v>79.040000000000006</v>
          </cell>
          <cell r="H71"/>
          <cell r="I71">
            <v>91.86</v>
          </cell>
          <cell r="J71"/>
          <cell r="K71"/>
          <cell r="L71"/>
          <cell r="M71">
            <v>7260.6144000000004</v>
          </cell>
          <cell r="N71">
            <v>0</v>
          </cell>
        </row>
        <row r="72">
          <cell r="A72" t="str">
            <v>13.2</v>
          </cell>
          <cell r="B72" t="str">
            <v>PINTURA</v>
          </cell>
          <cell r="C72"/>
          <cell r="D72"/>
          <cell r="E72"/>
          <cell r="F72"/>
          <cell r="G72"/>
          <cell r="H72"/>
          <cell r="I72"/>
          <cell r="J72"/>
          <cell r="K72"/>
          <cell r="L72"/>
          <cell r="M72"/>
          <cell r="N72"/>
        </row>
        <row r="73">
          <cell r="A73" t="str">
            <v>13.2.1</v>
          </cell>
          <cell r="B73" t="str">
            <v>PINTURA DE PISO COM TINTA ACRÍLICA, APLICAÇÃO MANUAL, 2 DEMÃOS, INCLUSO FUNDO PREPARADOR. AF_05/2021</v>
          </cell>
          <cell r="C73" t="str">
            <v>m²</v>
          </cell>
          <cell r="D73"/>
          <cell r="E73"/>
          <cell r="F73"/>
          <cell r="G73">
            <v>510</v>
          </cell>
          <cell r="H73"/>
          <cell r="I73">
            <v>21.98</v>
          </cell>
          <cell r="J73"/>
          <cell r="K73"/>
          <cell r="L73"/>
          <cell r="M73">
            <v>11209.800000000001</v>
          </cell>
          <cell r="N73">
            <v>0</v>
          </cell>
        </row>
        <row r="74">
          <cell r="A74" t="str">
            <v>13.2.2</v>
          </cell>
          <cell r="B74" t="str">
            <v>PINTURA DE DEMARCAÇÃO DE QUADRA POLIESPORTIVA COM TINTA ACRÍLICA, E = 5 CM, APLICAÇÃO MANUAL. AF_05/2021</v>
          </cell>
          <cell r="C74" t="str">
            <v>m</v>
          </cell>
          <cell r="D74"/>
          <cell r="E74"/>
          <cell r="F74"/>
          <cell r="G74">
            <v>248.7</v>
          </cell>
          <cell r="H74"/>
          <cell r="I74">
            <v>10.88</v>
          </cell>
          <cell r="J74"/>
          <cell r="K74"/>
          <cell r="L74"/>
          <cell r="M74">
            <v>2705.8560000000002</v>
          </cell>
          <cell r="N74">
            <v>0</v>
          </cell>
        </row>
        <row r="75">
          <cell r="A75" t="str">
            <v>13.2.3</v>
          </cell>
          <cell r="B75" t="str">
            <v>LIXAMENTO MANUAL EM SUPERFÍCIES METÁLICAS EM OBRA. AF_01/2020</v>
          </cell>
          <cell r="C75" t="str">
            <v>m²</v>
          </cell>
          <cell r="D75"/>
          <cell r="E75"/>
          <cell r="F75"/>
          <cell r="G75">
            <v>4.8</v>
          </cell>
          <cell r="H75"/>
          <cell r="I75">
            <v>10.130000000000001</v>
          </cell>
          <cell r="J75"/>
          <cell r="K75"/>
          <cell r="L75"/>
          <cell r="M75">
            <v>48.624000000000002</v>
          </cell>
          <cell r="N75">
            <v>0</v>
          </cell>
        </row>
        <row r="76">
          <cell r="A76" t="str">
            <v>13.2.4</v>
          </cell>
          <cell r="B76" t="str">
            <v>PINTURA COM TINTA ALQUÍDICA DE ACABAMENTO (ESMALTE SINTÉTICO FOSCO) APLICADA A ROLO OU PINCEL SOBRE SUPERFÍCIES METÁLICAS (EXCETO PERFIL) EXECUTADO EM OBRA (02 DEMÃOS). AF_01/2020</v>
          </cell>
          <cell r="C76" t="str">
            <v>m²</v>
          </cell>
          <cell r="D76"/>
          <cell r="E76"/>
          <cell r="F76"/>
          <cell r="G76">
            <v>4.8</v>
          </cell>
          <cell r="H76"/>
          <cell r="I76">
            <v>54.46</v>
          </cell>
          <cell r="J76"/>
          <cell r="K76"/>
          <cell r="L76"/>
          <cell r="M76">
            <v>261.40800000000002</v>
          </cell>
          <cell r="N76">
            <v>0</v>
          </cell>
        </row>
        <row r="77">
          <cell r="A77" t="str">
            <v>13.2.5</v>
          </cell>
          <cell r="B77" t="str">
            <v>EMASSAMENTO COM MASSA LÁTEX, APLICAÇÃO EM PAREDE, DUAS DEMÃOS, LIXAMENTO MANUAL. AF_04/2023</v>
          </cell>
          <cell r="C77" t="str">
            <v>m²</v>
          </cell>
          <cell r="D77"/>
          <cell r="E77"/>
          <cell r="F77"/>
          <cell r="G77">
            <v>70.048000000000002</v>
          </cell>
          <cell r="H77"/>
          <cell r="I77">
            <v>17.47</v>
          </cell>
          <cell r="J77"/>
          <cell r="K77"/>
          <cell r="L77"/>
          <cell r="M77">
            <v>1223.73856</v>
          </cell>
          <cell r="N77">
            <v>0</v>
          </cell>
        </row>
        <row r="78">
          <cell r="A78" t="str">
            <v>13.2.6</v>
          </cell>
          <cell r="B78" t="str">
            <v>PINTURA LÁTEX ACRÍLICA STANDARD, APLICAÇÃO MANUAL EM PAREDES, DUAS DEMÃOS. AF_04/2023</v>
          </cell>
          <cell r="C78" t="str">
            <v>m²</v>
          </cell>
          <cell r="D78"/>
          <cell r="E78"/>
          <cell r="F78"/>
          <cell r="G78">
            <v>70.048000000000002</v>
          </cell>
          <cell r="H78"/>
          <cell r="I78">
            <v>11.43</v>
          </cell>
          <cell r="J78"/>
          <cell r="K78"/>
          <cell r="L78"/>
          <cell r="M78">
            <v>800.64864</v>
          </cell>
          <cell r="N78">
            <v>0</v>
          </cell>
        </row>
        <row r="79">
          <cell r="A79" t="str">
            <v>13.3</v>
          </cell>
          <cell r="B79" t="str">
            <v>ELÉTRICA</v>
          </cell>
          <cell r="C79"/>
          <cell r="D79"/>
          <cell r="E79"/>
          <cell r="F79"/>
          <cell r="G79"/>
          <cell r="H79"/>
          <cell r="I79"/>
          <cell r="J79"/>
          <cell r="K79"/>
          <cell r="L79"/>
          <cell r="M79"/>
          <cell r="N79"/>
        </row>
        <row r="80">
          <cell r="A80" t="str">
            <v>13.3.1</v>
          </cell>
          <cell r="B80" t="str">
            <v>REMOÇÃO DE CABOS ELÉTRICOS, COM SEÇÃO DE ATÉ 2,5 MM², DE FORMA MANUAL, SEM REAPROVEITAMENTO. AF_09/2023</v>
          </cell>
          <cell r="C80" t="str">
            <v>M</v>
          </cell>
          <cell r="D80"/>
          <cell r="E80"/>
          <cell r="F80"/>
          <cell r="G80">
            <v>90</v>
          </cell>
          <cell r="H80"/>
          <cell r="I80">
            <v>0.43</v>
          </cell>
          <cell r="J80"/>
          <cell r="K80"/>
          <cell r="L80"/>
          <cell r="M80">
            <v>38.700000000000003</v>
          </cell>
          <cell r="N80">
            <v>0</v>
          </cell>
        </row>
        <row r="81">
          <cell r="A81" t="str">
            <v>13.3.2</v>
          </cell>
          <cell r="B81" t="str">
            <v>REMOÇÃO DE LUMINÁRIAS, DE FORMA MANUAL, SEM REAPROVEITAMENTO. AF_09/2023</v>
          </cell>
          <cell r="C81" t="str">
            <v>und</v>
          </cell>
          <cell r="D81"/>
          <cell r="E81"/>
          <cell r="F81"/>
          <cell r="G81">
            <v>8</v>
          </cell>
          <cell r="H81"/>
          <cell r="I81">
            <v>2.02</v>
          </cell>
          <cell r="J81"/>
          <cell r="K81"/>
          <cell r="L81"/>
          <cell r="M81">
            <v>16.16</v>
          </cell>
          <cell r="N81">
            <v>0</v>
          </cell>
        </row>
        <row r="82">
          <cell r="A82" t="str">
            <v>13.4</v>
          </cell>
          <cell r="B82" t="str">
            <v>PAVIMENTAÇÃO</v>
          </cell>
          <cell r="C82"/>
          <cell r="D82"/>
          <cell r="E82"/>
          <cell r="F82"/>
          <cell r="G82"/>
          <cell r="H82"/>
          <cell r="I82"/>
          <cell r="J82"/>
          <cell r="K82"/>
          <cell r="L82"/>
          <cell r="M82"/>
          <cell r="N82"/>
        </row>
        <row r="83">
          <cell r="A83" t="str">
            <v>13.4.1</v>
          </cell>
          <cell r="B83" t="str">
            <v>CONTRAPISO EM ARGAMASSA TRAÇO 1:4 (CIMENTO E AREIA), PREPARO MANUAL, APLICADO EM ÁREAS SECAS SOBRE LAJE, ADERIDO, ACABAMENTO NÃO REFORÇADO, ESPESSURA 3CM. AF_07/2021</v>
          </cell>
          <cell r="C83" t="str">
            <v>m²</v>
          </cell>
          <cell r="D83"/>
          <cell r="E83"/>
          <cell r="F83"/>
          <cell r="G83">
            <v>173.02600000000001</v>
          </cell>
          <cell r="H83"/>
          <cell r="I83">
            <v>47.25</v>
          </cell>
          <cell r="J83"/>
          <cell r="K83"/>
          <cell r="L83"/>
          <cell r="M83">
            <v>8175.4785000000002</v>
          </cell>
          <cell r="N83">
            <v>0</v>
          </cell>
        </row>
        <row r="84">
          <cell r="A84" t="str">
            <v>13.5</v>
          </cell>
          <cell r="B84" t="str">
            <v>DRENAGEM</v>
          </cell>
          <cell r="C84"/>
          <cell r="D84"/>
          <cell r="E84"/>
          <cell r="F84"/>
          <cell r="G84"/>
          <cell r="H84"/>
          <cell r="I84"/>
          <cell r="J84"/>
          <cell r="K84"/>
          <cell r="L84"/>
          <cell r="M84"/>
          <cell r="N84"/>
        </row>
        <row r="85">
          <cell r="A85" t="str">
            <v>13.5.1</v>
          </cell>
          <cell r="B85" t="str">
            <v>IMPERMEABILIZAÇÃO DE SUPERFÍCIE COM ARGAMASSA POLIMÉRICA / MEMBRANA ACRÍLICA, 3 DEMÃOS. AF_09/2023</v>
          </cell>
          <cell r="C85" t="str">
            <v>m²</v>
          </cell>
          <cell r="D85"/>
          <cell r="E85"/>
          <cell r="F85"/>
          <cell r="G85">
            <v>21.34</v>
          </cell>
          <cell r="H85"/>
          <cell r="I85">
            <v>32.869999999999997</v>
          </cell>
          <cell r="J85"/>
          <cell r="K85"/>
          <cell r="L85"/>
          <cell r="M85">
            <v>701.44579999999996</v>
          </cell>
          <cell r="N85">
            <v>0</v>
          </cell>
        </row>
        <row r="86">
          <cell r="A86" t="str">
            <v>13.5.2</v>
          </cell>
          <cell r="B86" t="str">
            <v>FITA METÁLICA PERFURADA</v>
          </cell>
          <cell r="C86" t="str">
            <v>m</v>
          </cell>
          <cell r="D86"/>
          <cell r="E86"/>
          <cell r="F86"/>
          <cell r="G86">
            <v>8</v>
          </cell>
          <cell r="H86"/>
          <cell r="I86">
            <v>78.680000000000007</v>
          </cell>
          <cell r="J86"/>
          <cell r="K86"/>
          <cell r="L86"/>
          <cell r="M86">
            <v>629.44000000000005</v>
          </cell>
          <cell r="N86">
            <v>0</v>
          </cell>
        </row>
        <row r="87">
          <cell r="A87" t="str">
            <v>13.6</v>
          </cell>
          <cell r="B87" t="str">
            <v>FUNDAÇÃO</v>
          </cell>
          <cell r="C87"/>
          <cell r="D87"/>
          <cell r="E87"/>
          <cell r="F87"/>
          <cell r="G87"/>
          <cell r="H87"/>
          <cell r="I87"/>
          <cell r="J87"/>
          <cell r="K87"/>
          <cell r="L87"/>
          <cell r="M87"/>
          <cell r="N87"/>
        </row>
        <row r="88">
          <cell r="A88" t="str">
            <v>13.6.1</v>
          </cell>
          <cell r="B88" t="str">
            <v>ARMAÇÃO DE BLOCO UTILIZANDO AÇO CA-50 DE 10 MM - MONTAGEM. AF_01/2024</v>
          </cell>
          <cell r="C88" t="str">
            <v>kg</v>
          </cell>
          <cell r="D88"/>
          <cell r="E88"/>
          <cell r="F88"/>
          <cell r="G88">
            <v>138.208</v>
          </cell>
          <cell r="H88"/>
          <cell r="I88">
            <v>16.829999999999998</v>
          </cell>
          <cell r="J88"/>
          <cell r="K88"/>
          <cell r="L88"/>
          <cell r="M88">
            <v>2326.0406399999997</v>
          </cell>
          <cell r="N88">
            <v>0</v>
          </cell>
        </row>
        <row r="89">
          <cell r="A89" t="str">
            <v>13.6.2</v>
          </cell>
          <cell r="B89" t="str">
            <v>CONCRETAGEM DE BLOCO DE COROAMENTO OU VIGA BALDRAME, FCK 30 MPA, COM USO DE JERICA - LANÇAMENTO, ADENSAMENTO E ACABAMENTO. AF_01/2024</v>
          </cell>
          <cell r="C89" t="str">
            <v>m³</v>
          </cell>
          <cell r="D89"/>
          <cell r="E89"/>
          <cell r="F89"/>
          <cell r="G89">
            <v>1.6</v>
          </cell>
          <cell r="H89"/>
          <cell r="I89">
            <v>803.97</v>
          </cell>
          <cell r="J89"/>
          <cell r="K89"/>
          <cell r="L89"/>
          <cell r="M89">
            <v>1286.3520000000001</v>
          </cell>
          <cell r="N89">
            <v>0</v>
          </cell>
        </row>
        <row r="90">
          <cell r="A90" t="str">
            <v>13.7</v>
          </cell>
          <cell r="B90" t="str">
            <v>SERVIÇOS COMPLEMENTARES</v>
          </cell>
          <cell r="C90"/>
          <cell r="D90"/>
          <cell r="E90"/>
          <cell r="F90"/>
          <cell r="G90"/>
          <cell r="H90"/>
          <cell r="I90"/>
          <cell r="J90"/>
          <cell r="K90"/>
          <cell r="L90"/>
          <cell r="M90"/>
          <cell r="N90"/>
        </row>
        <row r="91">
          <cell r="A91" t="str">
            <v>13.7.1</v>
          </cell>
          <cell r="B91" t="str">
            <v>MONTAGEM E DESMONTAGEM DE ANDAIME TUBULAR TIPO "TORRE" (EXCLUSIVE ANDAIME E LIMPEZA). AF_03/2024</v>
          </cell>
          <cell r="C91" t="str">
            <v>m</v>
          </cell>
          <cell r="D91"/>
          <cell r="E91"/>
          <cell r="F91"/>
          <cell r="G91">
            <v>96</v>
          </cell>
          <cell r="H91"/>
          <cell r="I91">
            <v>30.17</v>
          </cell>
          <cell r="J91">
            <v>0</v>
          </cell>
          <cell r="K91"/>
          <cell r="L91"/>
          <cell r="M91">
            <v>2896.32</v>
          </cell>
          <cell r="N91">
            <v>0</v>
          </cell>
        </row>
        <row r="92">
          <cell r="A92" t="str">
            <v>13.7.2</v>
          </cell>
          <cell r="B92" t="str">
            <v>LOCACAO DE ANDAIME METALICO TUBULAR DE ENCAIXE, TIPO DE TORRE, CADA PAINEL COM LARGURA DE 1 ATE 1,5 M E ALTURA DE *1,00* M, INCLUINDO DIAGONAL, BARRAS DE LIGACAO, SAPATAS OU RODIZIOS E DEMAIS ITENS NECESSARIOS A MONTAGEM (NAO INCLUI INSTALACAO)</v>
          </cell>
          <cell r="C92" t="str">
            <v>mxmês</v>
          </cell>
          <cell r="D92"/>
          <cell r="E92"/>
          <cell r="F92"/>
          <cell r="G92">
            <v>192</v>
          </cell>
          <cell r="H92"/>
          <cell r="I92">
            <v>21.76</v>
          </cell>
          <cell r="J92">
            <v>0</v>
          </cell>
          <cell r="K92"/>
          <cell r="L92"/>
          <cell r="M92">
            <v>4177.92</v>
          </cell>
          <cell r="N92">
            <v>0</v>
          </cell>
        </row>
        <row r="93">
          <cell r="A93" t="str">
            <v>13.7.3</v>
          </cell>
          <cell r="B93" t="str">
            <v>DEMOLIÇÃO DE PISO DE CONCRETO SIMPLES, DE FORMA MANUAL, SEM REAPROVEITAMENTO. AF_09/2023</v>
          </cell>
          <cell r="C93" t="str">
            <v>m³</v>
          </cell>
          <cell r="D93"/>
          <cell r="E93"/>
          <cell r="F93"/>
          <cell r="G93">
            <v>8.6513000000000009</v>
          </cell>
          <cell r="H93"/>
          <cell r="I93">
            <v>219.83</v>
          </cell>
          <cell r="J93">
            <v>0</v>
          </cell>
          <cell r="K93"/>
          <cell r="L93"/>
          <cell r="M93">
            <v>1901.8152790000004</v>
          </cell>
          <cell r="N93">
            <v>0</v>
          </cell>
        </row>
        <row r="94">
          <cell r="A94" t="str">
            <v>13.7.4</v>
          </cell>
          <cell r="B94" t="str">
            <v>PREPARO DE FUNDO DE VALA COM LARGURA MENOR QUE 1,5 M (ACERTO DO SOLO NATURAL). AF_08/2020</v>
          </cell>
          <cell r="C94" t="str">
            <v>m²</v>
          </cell>
          <cell r="D94"/>
          <cell r="E94"/>
          <cell r="F94"/>
          <cell r="G94">
            <v>23.04</v>
          </cell>
          <cell r="H94"/>
          <cell r="I94">
            <v>6.76</v>
          </cell>
          <cell r="J94">
            <v>0</v>
          </cell>
          <cell r="K94"/>
          <cell r="L94"/>
          <cell r="M94">
            <v>155.75039999999998</v>
          </cell>
          <cell r="N94">
            <v>0</v>
          </cell>
        </row>
        <row r="95">
          <cell r="A95" t="str">
            <v>13.7.5</v>
          </cell>
          <cell r="B95" t="str">
            <v>IMPERMEABILIZAÇÃO DE SUPERFÍCIE COM EMULSÃO ASFÁLTICA, 2 DEMÃOS. AF_09/2023</v>
          </cell>
          <cell r="C95" t="str">
            <v>m²</v>
          </cell>
          <cell r="D95"/>
          <cell r="E95"/>
          <cell r="F95"/>
          <cell r="G95">
            <v>64</v>
          </cell>
          <cell r="H95"/>
          <cell r="I95">
            <v>45.87</v>
          </cell>
          <cell r="J95">
            <v>0</v>
          </cell>
          <cell r="K95"/>
          <cell r="L95"/>
          <cell r="M95">
            <v>2935.68</v>
          </cell>
          <cell r="N95">
            <v>0</v>
          </cell>
        </row>
        <row r="96">
          <cell r="I96" t="str">
            <v xml:space="preserve">TOTAL </v>
          </cell>
          <cell r="J96">
            <v>335000</v>
          </cell>
          <cell r="K96">
            <v>112005.76979999999</v>
          </cell>
          <cell r="L96">
            <v>0</v>
          </cell>
          <cell r="M96">
            <v>55467.684199000003</v>
          </cell>
          <cell r="N96">
            <v>447005.74000000005</v>
          </cell>
        </row>
        <row r="98">
          <cell r="B98" t="str">
            <v>RESUMO FINANCEIRO</v>
          </cell>
          <cell r="C98"/>
          <cell r="D98"/>
          <cell r="E98"/>
          <cell r="K98"/>
        </row>
        <row r="99">
          <cell r="B99" t="str">
            <v>DESCRIÇÃO</v>
          </cell>
          <cell r="C99" t="str">
            <v>VALOR  (R$)</v>
          </cell>
          <cell r="D99"/>
          <cell r="E99" t="str">
            <v>PORC. (%)</v>
          </cell>
          <cell r="J99"/>
          <cell r="M99"/>
        </row>
        <row r="100">
          <cell r="B100" t="str">
            <v>VALOR CONTRATO INICIAL:</v>
          </cell>
          <cell r="C100">
            <v>335000</v>
          </cell>
          <cell r="D100"/>
          <cell r="E100">
            <v>1</v>
          </cell>
        </row>
        <row r="101">
          <cell r="B101" t="str">
            <v>VALOR DOS SERVIÇOS EXCEDENTES</v>
          </cell>
          <cell r="C101">
            <v>112005.76979999999</v>
          </cell>
          <cell r="D101"/>
          <cell r="E101">
            <v>0.33434558149253729</v>
          </cell>
          <cell r="K101"/>
          <cell r="L101"/>
        </row>
        <row r="102">
          <cell r="B102" t="str">
            <v>VALOR DOS SERVIÇOS EXTRAS:</v>
          </cell>
          <cell r="C102">
            <v>55467.684199000003</v>
          </cell>
          <cell r="D102"/>
          <cell r="E102">
            <v>0.16557517671343283</v>
          </cell>
          <cell r="H102"/>
          <cell r="K102"/>
          <cell r="L102"/>
        </row>
        <row r="103">
          <cell r="B103" t="str">
            <v>VALOR ADITADO:</v>
          </cell>
          <cell r="C103">
            <v>167473.45399899999</v>
          </cell>
          <cell r="D103"/>
          <cell r="E103">
            <v>0.49992075820597009</v>
          </cell>
          <cell r="G103"/>
          <cell r="H103"/>
          <cell r="K103"/>
          <cell r="L103"/>
        </row>
        <row r="104">
          <cell r="B104" t="str">
            <v>VALOR QUALITATIVO:</v>
          </cell>
          <cell r="C104"/>
          <cell r="D104"/>
          <cell r="E104"/>
          <cell r="G104"/>
        </row>
        <row r="105">
          <cell r="B105" t="str">
            <v>VALOR QUANTITATIVO:</v>
          </cell>
          <cell r="C105"/>
          <cell r="D105"/>
          <cell r="E105"/>
        </row>
        <row r="106">
          <cell r="B106" t="str">
            <v>VALOR SERVIÇOS DECRESCIDOS:</v>
          </cell>
          <cell r="C106">
            <v>0</v>
          </cell>
          <cell r="D106"/>
          <cell r="E106">
            <v>0</v>
          </cell>
        </row>
        <row r="107">
          <cell r="B107" t="str">
            <v>VALOR FINAL:</v>
          </cell>
          <cell r="C107">
            <v>502473.45399900002</v>
          </cell>
          <cell r="D107"/>
          <cell r="E107">
            <v>0.49992075820597021</v>
          </cell>
        </row>
        <row r="111">
          <cell r="M111"/>
          <cell r="N111"/>
        </row>
        <row r="112">
          <cell r="J112">
            <v>311818.90999999997</v>
          </cell>
          <cell r="K112">
            <v>7.4341514438620804E-2</v>
          </cell>
          <cell r="L112">
            <v>23181.09</v>
          </cell>
          <cell r="M112"/>
          <cell r="N112"/>
        </row>
        <row r="113">
          <cell r="J113"/>
          <cell r="M113"/>
          <cell r="N113"/>
        </row>
        <row r="114">
          <cell r="J114">
            <v>167473.45399899999</v>
          </cell>
          <cell r="K114">
            <v>12450.230198552355</v>
          </cell>
          <cell r="L114">
            <v>0.5370856244703055</v>
          </cell>
        </row>
        <row r="116">
          <cell r="J116">
            <v>479292.36399899994</v>
          </cell>
        </row>
        <row r="126">
          <cell r="B126"/>
        </row>
      </sheetData>
      <sheetData sheetId="1"/>
      <sheetData sheetId="2"/>
      <sheetData sheetId="3"/>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1.emf"/><Relationship Id="rId4" Type="http://schemas.openxmlformats.org/officeDocument/2006/relationships/oleObject" Target="../embeddings/oleObject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1">
    <tabColor theme="0" tint="-4.9989318521683403E-2"/>
    <pageSetUpPr fitToPage="1"/>
  </sheetPr>
  <dimension ref="A1:W148"/>
  <sheetViews>
    <sheetView workbookViewId="0">
      <selection activeCell="R9" sqref="R9"/>
    </sheetView>
  </sheetViews>
  <sheetFormatPr defaultRowHeight="12.75" x14ac:dyDescent="0.2"/>
  <cols>
    <col min="1" max="1" width="1.42578125" customWidth="1"/>
    <col min="2" max="2" width="1.85546875" customWidth="1"/>
    <col min="3" max="3" width="25.28515625" customWidth="1"/>
    <col min="4" max="4" width="16.28515625" customWidth="1"/>
    <col min="5" max="5" width="7.42578125" customWidth="1"/>
    <col min="6" max="6" width="7.140625" customWidth="1"/>
    <col min="7" max="7" width="7.7109375" customWidth="1"/>
    <col min="8" max="9" width="11.42578125" customWidth="1"/>
    <col min="10" max="10" width="8.42578125" customWidth="1"/>
    <col min="11" max="11" width="7.140625" customWidth="1"/>
    <col min="12" max="12" width="6.5703125" customWidth="1"/>
    <col min="13" max="13" width="7" customWidth="1"/>
    <col min="14" max="14" width="6.85546875" customWidth="1"/>
    <col min="15" max="16" width="1.5703125" customWidth="1"/>
    <col min="19" max="19" width="32.42578125" bestFit="1" customWidth="1"/>
  </cols>
  <sheetData>
    <row r="1" spans="1:23" ht="6.75" customHeight="1" x14ac:dyDescent="0.2">
      <c r="A1" s="26"/>
      <c r="B1" s="26"/>
      <c r="C1" s="26"/>
      <c r="D1" s="26"/>
      <c r="E1" s="26"/>
      <c r="F1" s="26"/>
      <c r="G1" s="26"/>
      <c r="H1" s="26"/>
      <c r="I1" s="26"/>
      <c r="J1" s="26"/>
      <c r="K1" s="26"/>
      <c r="L1" s="26"/>
      <c r="M1" s="26"/>
      <c r="N1" s="26"/>
      <c r="O1" s="26"/>
      <c r="P1" s="26"/>
      <c r="Q1" s="1"/>
      <c r="R1" s="1"/>
      <c r="S1" s="1"/>
      <c r="T1" s="1"/>
      <c r="U1" s="1"/>
      <c r="V1" s="1"/>
      <c r="W1" s="1"/>
    </row>
    <row r="2" spans="1:23" ht="7.5" customHeight="1" thickBot="1" x14ac:dyDescent="0.25">
      <c r="A2" s="26"/>
      <c r="B2" s="26"/>
      <c r="C2" s="26"/>
      <c r="D2" s="26"/>
      <c r="E2" s="26"/>
      <c r="F2" s="26"/>
      <c r="G2" s="26"/>
      <c r="H2" s="26"/>
      <c r="I2" s="26"/>
      <c r="J2" s="26"/>
      <c r="K2" s="26"/>
      <c r="L2" s="26"/>
      <c r="M2" s="26"/>
      <c r="N2" s="26"/>
      <c r="O2" s="26"/>
      <c r="P2" s="26"/>
      <c r="Q2" s="1"/>
      <c r="R2" s="1"/>
      <c r="S2" s="1"/>
      <c r="T2" s="1"/>
      <c r="U2" s="1"/>
      <c r="V2" s="1"/>
      <c r="W2" s="1"/>
    </row>
    <row r="3" spans="1:23" ht="6.75" customHeight="1" thickBot="1" x14ac:dyDescent="0.25">
      <c r="A3" s="26"/>
      <c r="B3" s="12"/>
      <c r="C3" s="13"/>
      <c r="D3" s="13"/>
      <c r="E3" s="13"/>
      <c r="F3" s="13"/>
      <c r="G3" s="13"/>
      <c r="H3" s="13"/>
      <c r="I3" s="13"/>
      <c r="J3" s="13"/>
      <c r="K3" s="13"/>
      <c r="L3" s="13"/>
      <c r="M3" s="13"/>
      <c r="N3" s="13"/>
      <c r="O3" s="16"/>
      <c r="P3" s="26"/>
      <c r="Q3" s="1"/>
      <c r="R3" s="1"/>
      <c r="S3" s="1"/>
      <c r="T3" s="1"/>
      <c r="U3" s="1"/>
      <c r="V3" s="1"/>
      <c r="W3" s="1"/>
    </row>
    <row r="4" spans="1:23" ht="15" customHeight="1" thickBot="1" x14ac:dyDescent="0.25">
      <c r="A4" s="26"/>
      <c r="B4" s="14"/>
      <c r="C4" s="312" t="s">
        <v>4</v>
      </c>
      <c r="D4" s="313"/>
      <c r="E4" s="313"/>
      <c r="F4" s="313"/>
      <c r="G4" s="313"/>
      <c r="H4" s="313"/>
      <c r="I4" s="313"/>
      <c r="J4" s="313"/>
      <c r="K4" s="313"/>
      <c r="L4" s="313"/>
      <c r="M4" s="313"/>
      <c r="N4" s="314"/>
      <c r="O4" s="17"/>
      <c r="P4" s="26"/>
      <c r="Q4" s="1"/>
      <c r="R4" s="1"/>
      <c r="S4" s="1"/>
      <c r="T4" s="1"/>
      <c r="U4" s="1"/>
      <c r="V4" s="1"/>
      <c r="W4" s="1"/>
    </row>
    <row r="5" spans="1:23" ht="6.75" customHeight="1" x14ac:dyDescent="0.2">
      <c r="A5" s="26"/>
      <c r="B5" s="14"/>
      <c r="C5" s="15"/>
      <c r="D5" s="15"/>
      <c r="E5" s="15"/>
      <c r="F5" s="15"/>
      <c r="G5" s="15"/>
      <c r="H5" s="15"/>
      <c r="I5" s="15"/>
      <c r="J5" s="15"/>
      <c r="K5" s="15"/>
      <c r="L5" s="15"/>
      <c r="M5" s="15"/>
      <c r="N5" s="15"/>
      <c r="O5" s="17"/>
      <c r="P5" s="26"/>
      <c r="Q5" s="1"/>
      <c r="R5" s="1"/>
      <c r="S5" s="1"/>
      <c r="T5" s="1"/>
      <c r="U5" s="1"/>
      <c r="V5" s="1"/>
      <c r="W5" s="1"/>
    </row>
    <row r="6" spans="1:23" x14ac:dyDescent="0.2">
      <c r="A6" s="26"/>
      <c r="B6" s="14"/>
      <c r="C6" s="15"/>
      <c r="D6" s="15"/>
      <c r="E6" s="15"/>
      <c r="F6" s="15"/>
      <c r="G6" s="15"/>
      <c r="H6" s="15"/>
      <c r="I6" s="15"/>
      <c r="J6" s="15"/>
      <c r="K6" s="15"/>
      <c r="L6" s="15"/>
      <c r="M6" s="15"/>
      <c r="N6" s="15"/>
      <c r="O6" s="17"/>
      <c r="P6" s="26"/>
      <c r="Q6" s="1"/>
      <c r="R6" s="1"/>
      <c r="S6" s="1"/>
      <c r="T6" s="1"/>
      <c r="U6" s="1"/>
      <c r="V6" s="1"/>
      <c r="W6" s="1"/>
    </row>
    <row r="7" spans="1:23" ht="56.25" customHeight="1" x14ac:dyDescent="0.2">
      <c r="A7" s="26"/>
      <c r="B7" s="14"/>
      <c r="C7" s="108" t="s">
        <v>5</v>
      </c>
      <c r="D7" s="325" t="s">
        <v>127</v>
      </c>
      <c r="E7" s="325"/>
      <c r="F7" s="325"/>
      <c r="G7" s="325"/>
      <c r="H7" s="325"/>
      <c r="I7" s="325"/>
      <c r="J7" s="325"/>
      <c r="K7" s="325"/>
      <c r="L7" s="325"/>
      <c r="M7" s="325"/>
      <c r="N7" s="325"/>
      <c r="O7" s="17"/>
      <c r="P7" s="26"/>
      <c r="Q7" s="1"/>
      <c r="R7" s="1"/>
      <c r="S7" s="1"/>
      <c r="T7" s="1"/>
      <c r="U7" s="1"/>
      <c r="V7" s="1"/>
      <c r="W7" s="1"/>
    </row>
    <row r="8" spans="1:23" ht="11.25" customHeight="1" x14ac:dyDescent="0.2">
      <c r="A8" s="26"/>
      <c r="B8" s="14"/>
      <c r="C8" s="21"/>
      <c r="D8" s="24"/>
      <c r="E8" s="24"/>
      <c r="F8" s="24"/>
      <c r="G8" s="24"/>
      <c r="H8" s="24"/>
      <c r="I8" s="24"/>
      <c r="J8" s="24"/>
      <c r="K8" s="24"/>
      <c r="L8" s="24"/>
      <c r="M8" s="24"/>
      <c r="N8" s="24"/>
      <c r="O8" s="17"/>
      <c r="P8" s="26"/>
      <c r="Q8" s="1"/>
      <c r="R8" s="1"/>
      <c r="S8" s="1"/>
      <c r="T8" s="1"/>
      <c r="U8" s="1"/>
      <c r="V8" s="1"/>
      <c r="W8" s="1"/>
    </row>
    <row r="9" spans="1:23" ht="26.25" customHeight="1" x14ac:dyDescent="0.2">
      <c r="A9" s="26"/>
      <c r="B9" s="14"/>
      <c r="C9" s="21" t="s">
        <v>12</v>
      </c>
      <c r="D9" s="326" t="s">
        <v>109</v>
      </c>
      <c r="E9" s="327"/>
      <c r="F9" s="327"/>
      <c r="G9" s="327"/>
      <c r="H9" s="327"/>
      <c r="I9" s="327"/>
      <c r="J9" s="327"/>
      <c r="K9" s="327"/>
      <c r="L9" s="327"/>
      <c r="M9" s="328"/>
      <c r="N9" s="24"/>
      <c r="O9" s="17"/>
      <c r="P9" s="26"/>
      <c r="Q9" s="1"/>
      <c r="R9" s="1"/>
      <c r="S9" s="1"/>
      <c r="T9" s="1"/>
      <c r="U9" s="1"/>
      <c r="V9" s="1"/>
      <c r="W9" s="1"/>
    </row>
    <row r="10" spans="1:23" ht="6" customHeight="1" x14ac:dyDescent="0.2">
      <c r="A10" s="26"/>
      <c r="B10" s="14"/>
      <c r="C10" s="21"/>
      <c r="D10" s="15"/>
      <c r="E10" s="15"/>
      <c r="F10" s="15"/>
      <c r="G10" s="15"/>
      <c r="H10" s="15"/>
      <c r="I10" s="15"/>
      <c r="J10" s="15"/>
      <c r="K10" s="15"/>
      <c r="L10" s="15"/>
      <c r="M10" s="15"/>
      <c r="N10" s="15"/>
      <c r="O10" s="17"/>
      <c r="P10" s="26"/>
      <c r="Q10" s="1"/>
      <c r="R10" s="1"/>
      <c r="S10" s="1"/>
      <c r="T10" s="1"/>
      <c r="U10" s="1"/>
      <c r="V10" s="1"/>
      <c r="W10" s="1"/>
    </row>
    <row r="11" spans="1:23" x14ac:dyDescent="0.2">
      <c r="A11" s="26"/>
      <c r="B11" s="14"/>
      <c r="C11" s="22" t="s">
        <v>6</v>
      </c>
      <c r="D11" s="329" t="s">
        <v>208</v>
      </c>
      <c r="E11" s="329"/>
      <c r="F11" s="315" t="s">
        <v>55</v>
      </c>
      <c r="G11" s="316"/>
      <c r="H11" s="317" t="s">
        <v>236</v>
      </c>
      <c r="I11" s="318"/>
      <c r="J11" s="315" t="s">
        <v>57</v>
      </c>
      <c r="K11" s="316"/>
      <c r="L11" s="323">
        <v>2</v>
      </c>
      <c r="M11" s="324"/>
      <c r="N11" s="15"/>
      <c r="O11" s="17"/>
      <c r="P11" s="26"/>
      <c r="Q11" s="1"/>
      <c r="R11" s="1"/>
      <c r="S11" s="1"/>
      <c r="T11" s="1"/>
      <c r="U11" s="1"/>
      <c r="V11" s="1"/>
      <c r="W11" s="1"/>
    </row>
    <row r="12" spans="1:23" ht="6" customHeight="1" x14ac:dyDescent="0.2">
      <c r="A12" s="26"/>
      <c r="B12" s="14"/>
      <c r="C12" s="22"/>
      <c r="D12" s="59"/>
      <c r="E12" s="59"/>
      <c r="F12" s="15"/>
      <c r="G12" s="15"/>
      <c r="H12" s="15"/>
      <c r="I12" s="15"/>
      <c r="J12" s="15"/>
      <c r="K12" s="15"/>
      <c r="L12" s="15"/>
      <c r="M12" s="15"/>
      <c r="N12" s="15"/>
      <c r="O12" s="17"/>
      <c r="P12" s="26"/>
      <c r="Q12" s="1"/>
      <c r="R12" s="1"/>
      <c r="S12" s="1"/>
      <c r="T12" s="1"/>
      <c r="U12" s="1"/>
      <c r="V12" s="1"/>
      <c r="W12" s="1"/>
    </row>
    <row r="13" spans="1:23" x14ac:dyDescent="0.2">
      <c r="A13" s="26"/>
      <c r="B13" s="14"/>
      <c r="C13" s="22" t="s">
        <v>58</v>
      </c>
      <c r="D13" s="330">
        <v>46008</v>
      </c>
      <c r="E13" s="330"/>
      <c r="F13" s="315" t="s">
        <v>56</v>
      </c>
      <c r="G13" s="316"/>
      <c r="H13" s="319" t="s">
        <v>233</v>
      </c>
      <c r="I13" s="320"/>
      <c r="J13" s="321"/>
      <c r="K13" s="322"/>
      <c r="L13" s="15"/>
      <c r="M13" s="15"/>
      <c r="N13" s="15"/>
      <c r="O13" s="17"/>
      <c r="P13" s="26"/>
      <c r="Q13" s="1"/>
      <c r="R13" s="1"/>
      <c r="S13" s="1"/>
      <c r="T13" s="1"/>
      <c r="U13" s="1"/>
      <c r="V13" s="1"/>
      <c r="W13" s="1"/>
    </row>
    <row r="14" spans="1:23" ht="4.5" customHeight="1" x14ac:dyDescent="0.2">
      <c r="A14" s="26"/>
      <c r="B14" s="14"/>
      <c r="C14" s="22"/>
      <c r="D14" s="59"/>
      <c r="E14" s="59"/>
      <c r="F14" s="15"/>
      <c r="G14" s="15"/>
      <c r="H14" s="15"/>
      <c r="I14" s="15"/>
      <c r="J14" s="15"/>
      <c r="K14" s="15"/>
      <c r="L14" s="15"/>
      <c r="M14" s="15"/>
      <c r="N14" s="15"/>
      <c r="O14" s="17"/>
      <c r="P14" s="26"/>
      <c r="Q14" s="1"/>
      <c r="R14" s="1"/>
      <c r="S14" s="1"/>
      <c r="T14" s="1"/>
      <c r="U14" s="1"/>
      <c r="V14" s="1"/>
      <c r="W14" s="1"/>
    </row>
    <row r="15" spans="1:23" ht="3" customHeight="1" x14ac:dyDescent="0.2">
      <c r="A15" s="26"/>
      <c r="B15" s="14"/>
      <c r="C15" s="22"/>
      <c r="D15" s="59"/>
      <c r="E15" s="59"/>
      <c r="F15" s="15"/>
      <c r="G15" s="15"/>
      <c r="H15" s="7"/>
      <c r="I15" s="2"/>
      <c r="J15" s="2"/>
      <c r="K15" s="2"/>
      <c r="L15" s="2"/>
      <c r="M15" s="4"/>
      <c r="N15" s="15"/>
      <c r="O15" s="17"/>
      <c r="P15" s="26"/>
      <c r="Q15" s="1"/>
      <c r="R15" s="1"/>
      <c r="S15" s="1"/>
      <c r="T15" s="1"/>
      <c r="U15" s="1"/>
      <c r="V15" s="1"/>
      <c r="W15" s="1"/>
    </row>
    <row r="16" spans="1:23" x14ac:dyDescent="0.2">
      <c r="A16" s="26"/>
      <c r="B16" s="14"/>
      <c r="C16" s="22" t="s">
        <v>89</v>
      </c>
      <c r="D16" s="334" t="s">
        <v>209</v>
      </c>
      <c r="E16" s="334"/>
      <c r="F16" s="15"/>
      <c r="G16" s="15"/>
      <c r="H16" s="11" t="s">
        <v>23</v>
      </c>
      <c r="I16" s="1"/>
      <c r="J16" s="1"/>
      <c r="K16" s="1"/>
      <c r="L16" s="1"/>
      <c r="M16" s="5"/>
      <c r="N16" s="15"/>
      <c r="O16" s="17"/>
      <c r="P16" s="26"/>
      <c r="Q16" s="1"/>
      <c r="R16" s="1"/>
      <c r="S16" s="1"/>
      <c r="T16" s="1"/>
      <c r="U16" s="1"/>
      <c r="V16" s="1"/>
      <c r="W16" s="1"/>
    </row>
    <row r="17" spans="1:23" ht="6" customHeight="1" x14ac:dyDescent="0.2">
      <c r="A17" s="26"/>
      <c r="B17" s="14"/>
      <c r="C17" s="22"/>
      <c r="D17" s="59"/>
      <c r="E17" s="59"/>
      <c r="F17" s="15"/>
      <c r="G17" s="15"/>
      <c r="H17" s="8"/>
      <c r="I17" s="1"/>
      <c r="J17" s="1"/>
      <c r="K17" s="1"/>
      <c r="L17" s="1"/>
      <c r="M17" s="5"/>
      <c r="N17" s="15"/>
      <c r="O17" s="17"/>
      <c r="P17" s="26"/>
      <c r="Q17" s="1"/>
      <c r="R17" s="1"/>
      <c r="S17" s="1"/>
      <c r="T17" s="1"/>
      <c r="U17" s="1"/>
      <c r="V17" s="1"/>
      <c r="W17" s="1"/>
    </row>
    <row r="18" spans="1:23" ht="12.75" customHeight="1" x14ac:dyDescent="0.2">
      <c r="A18" s="26"/>
      <c r="B18" s="14"/>
      <c r="C18" s="22" t="s">
        <v>7</v>
      </c>
      <c r="D18" s="223">
        <v>120</v>
      </c>
      <c r="E18" s="60" t="s">
        <v>20</v>
      </c>
      <c r="F18" s="15"/>
      <c r="G18" s="15"/>
      <c r="H18" s="339" t="s">
        <v>1</v>
      </c>
      <c r="I18" s="340"/>
      <c r="J18" s="340"/>
      <c r="K18" s="340"/>
      <c r="L18" s="340"/>
      <c r="M18" s="341"/>
      <c r="N18" s="15"/>
      <c r="O18" s="17"/>
      <c r="P18" s="26"/>
      <c r="Q18" s="1"/>
      <c r="R18" s="1"/>
      <c r="S18" s="1"/>
      <c r="T18" s="1"/>
      <c r="U18" s="1"/>
      <c r="V18" s="1"/>
      <c r="W18" s="1"/>
    </row>
    <row r="19" spans="1:23" ht="6.75" customHeight="1" x14ac:dyDescent="0.2">
      <c r="A19" s="26"/>
      <c r="B19" s="14"/>
      <c r="C19" s="22"/>
      <c r="D19" s="59"/>
      <c r="E19" s="59"/>
      <c r="F19" s="15"/>
      <c r="G19" s="15"/>
      <c r="H19" s="339"/>
      <c r="I19" s="340"/>
      <c r="J19" s="340"/>
      <c r="K19" s="340"/>
      <c r="L19" s="340"/>
      <c r="M19" s="341"/>
      <c r="N19" s="15"/>
      <c r="O19" s="17"/>
      <c r="P19" s="26"/>
      <c r="Q19" s="1"/>
      <c r="R19" s="1"/>
      <c r="S19" s="1"/>
      <c r="T19" s="1"/>
      <c r="U19" s="1"/>
      <c r="V19" s="1"/>
      <c r="W19" s="1"/>
    </row>
    <row r="20" spans="1:23" ht="12.75" customHeight="1" x14ac:dyDescent="0.2">
      <c r="A20" s="26"/>
      <c r="B20" s="14"/>
      <c r="C20" s="22" t="s">
        <v>8</v>
      </c>
      <c r="D20" s="223">
        <v>0</v>
      </c>
      <c r="E20" s="60" t="s">
        <v>20</v>
      </c>
      <c r="F20" s="15"/>
      <c r="G20" s="15"/>
      <c r="H20" s="339"/>
      <c r="I20" s="340"/>
      <c r="J20" s="340"/>
      <c r="K20" s="340"/>
      <c r="L20" s="340"/>
      <c r="M20" s="341"/>
      <c r="N20" s="15"/>
      <c r="O20" s="17"/>
      <c r="P20" s="26"/>
      <c r="Q20" s="1"/>
      <c r="R20" s="1"/>
      <c r="S20" s="1"/>
      <c r="T20" s="1"/>
      <c r="U20" s="1"/>
      <c r="V20" s="1"/>
      <c r="W20" s="1"/>
    </row>
    <row r="21" spans="1:23" ht="6" customHeight="1" x14ac:dyDescent="0.2">
      <c r="A21" s="26"/>
      <c r="B21" s="14"/>
      <c r="C21" s="22"/>
      <c r="D21" s="60"/>
      <c r="E21" s="59"/>
      <c r="F21" s="15"/>
      <c r="G21" s="15"/>
      <c r="H21" s="8"/>
      <c r="I21" s="1"/>
      <c r="J21" s="1"/>
      <c r="K21" s="1"/>
      <c r="L21" s="1"/>
      <c r="M21" s="5"/>
      <c r="N21" s="15"/>
      <c r="O21" s="17"/>
      <c r="P21" s="26"/>
      <c r="Q21" s="1"/>
      <c r="R21" s="1"/>
      <c r="S21" s="1"/>
      <c r="T21" s="1"/>
      <c r="U21" s="1"/>
      <c r="V21" s="1"/>
      <c r="W21" s="1"/>
    </row>
    <row r="22" spans="1:23" x14ac:dyDescent="0.2">
      <c r="A22" s="26"/>
      <c r="B22" s="14"/>
      <c r="C22" s="22" t="s">
        <v>9</v>
      </c>
      <c r="D22" s="107">
        <v>0</v>
      </c>
      <c r="E22" s="60" t="s">
        <v>20</v>
      </c>
      <c r="F22" s="15"/>
      <c r="G22" s="15"/>
      <c r="H22" s="335" t="s">
        <v>27</v>
      </c>
      <c r="I22" s="336"/>
      <c r="J22" s="336"/>
      <c r="K22" s="336"/>
      <c r="L22" s="336"/>
      <c r="M22" s="337"/>
      <c r="N22" s="15"/>
      <c r="O22" s="17"/>
      <c r="P22" s="26"/>
      <c r="Q22" s="1"/>
      <c r="R22" s="1"/>
      <c r="S22" s="1"/>
      <c r="T22" s="1"/>
      <c r="U22" s="1"/>
      <c r="V22" s="1"/>
      <c r="W22" s="1"/>
    </row>
    <row r="23" spans="1:23" ht="6" customHeight="1" x14ac:dyDescent="0.2">
      <c r="A23" s="26"/>
      <c r="B23" s="14"/>
      <c r="C23" s="22"/>
      <c r="D23" s="59"/>
      <c r="E23" s="59"/>
      <c r="F23" s="15"/>
      <c r="G23" s="15"/>
      <c r="H23" s="8"/>
      <c r="I23" s="1"/>
      <c r="J23" s="1"/>
      <c r="K23" s="1"/>
      <c r="L23" s="1"/>
      <c r="M23" s="5"/>
      <c r="N23" s="15"/>
      <c r="O23" s="17"/>
      <c r="P23" s="26"/>
      <c r="Q23" s="1"/>
      <c r="R23" s="1"/>
      <c r="S23" s="1"/>
      <c r="T23" s="1"/>
      <c r="U23" s="1"/>
      <c r="V23" s="1"/>
      <c r="W23" s="1"/>
    </row>
    <row r="24" spans="1:23" x14ac:dyDescent="0.2">
      <c r="A24" s="26"/>
      <c r="B24" s="14"/>
      <c r="C24" s="22" t="s">
        <v>10</v>
      </c>
      <c r="D24" s="107">
        <f>D18+D20+D22</f>
        <v>120</v>
      </c>
      <c r="E24" s="60" t="s">
        <v>20</v>
      </c>
      <c r="F24" s="15"/>
      <c r="G24" s="15"/>
      <c r="H24" s="10" t="s">
        <v>22</v>
      </c>
      <c r="I24" s="1"/>
      <c r="J24" s="1"/>
      <c r="K24" s="1"/>
      <c r="L24" s="1"/>
      <c r="M24" s="5"/>
      <c r="N24" s="15"/>
      <c r="O24" s="17"/>
      <c r="P24" s="26"/>
      <c r="Q24" s="1"/>
      <c r="R24" s="1"/>
      <c r="S24" s="225"/>
      <c r="T24" s="1"/>
      <c r="U24" s="1"/>
      <c r="V24" s="1"/>
      <c r="W24" s="1"/>
    </row>
    <row r="25" spans="1:23" ht="6" customHeight="1" x14ac:dyDescent="0.2">
      <c r="A25" s="26"/>
      <c r="B25" s="14"/>
      <c r="C25" s="22"/>
      <c r="D25" s="59"/>
      <c r="E25" s="59"/>
      <c r="F25" s="15"/>
      <c r="G25" s="15"/>
      <c r="H25" s="8"/>
      <c r="I25" s="1"/>
      <c r="J25" s="1"/>
      <c r="K25" s="1"/>
      <c r="L25" s="1"/>
      <c r="M25" s="5"/>
      <c r="N25" s="15"/>
      <c r="O25" s="17"/>
      <c r="P25" s="26"/>
      <c r="Q25" s="1"/>
      <c r="R25" s="1"/>
      <c r="S25" s="1"/>
      <c r="T25" s="1"/>
      <c r="U25" s="1"/>
      <c r="V25" s="1"/>
      <c r="W25" s="1"/>
    </row>
    <row r="26" spans="1:23" x14ac:dyDescent="0.2">
      <c r="A26" s="26"/>
      <c r="B26" s="14"/>
      <c r="C26" s="22" t="s">
        <v>11</v>
      </c>
      <c r="D26" s="224">
        <v>0.26629999999999998</v>
      </c>
      <c r="E26" s="59"/>
      <c r="F26" s="15"/>
      <c r="G26" s="15"/>
      <c r="H26" s="335" t="s">
        <v>21</v>
      </c>
      <c r="I26" s="336"/>
      <c r="J26" s="336"/>
      <c r="K26" s="336"/>
      <c r="L26" s="336"/>
      <c r="M26" s="337"/>
      <c r="N26" s="15"/>
      <c r="O26" s="17"/>
      <c r="P26" s="26"/>
      <c r="Q26" s="1"/>
      <c r="R26" s="1"/>
      <c r="S26" s="225"/>
      <c r="T26" s="1"/>
      <c r="U26" s="1"/>
      <c r="V26" s="1"/>
      <c r="W26" s="1"/>
    </row>
    <row r="27" spans="1:23" ht="6" customHeight="1" x14ac:dyDescent="0.2">
      <c r="A27" s="26"/>
      <c r="B27" s="14"/>
      <c r="C27" s="22"/>
      <c r="D27" s="59"/>
      <c r="E27" s="59"/>
      <c r="F27" s="15"/>
      <c r="G27" s="15"/>
      <c r="H27" s="9"/>
      <c r="I27" s="3"/>
      <c r="J27" s="3"/>
      <c r="K27" s="3"/>
      <c r="L27" s="3"/>
      <c r="M27" s="6"/>
      <c r="N27" s="15"/>
      <c r="O27" s="17"/>
      <c r="P27" s="26"/>
      <c r="Q27" s="1"/>
      <c r="R27" s="1"/>
      <c r="S27" s="1"/>
      <c r="T27" s="1"/>
      <c r="U27" s="1"/>
      <c r="V27" s="1"/>
      <c r="W27" s="1"/>
    </row>
    <row r="28" spans="1:23" x14ac:dyDescent="0.2">
      <c r="A28" s="26"/>
      <c r="B28" s="14"/>
      <c r="C28" s="22" t="s">
        <v>19</v>
      </c>
      <c r="D28" s="175">
        <v>0.5</v>
      </c>
      <c r="E28" s="59"/>
      <c r="F28" s="15"/>
      <c r="G28" s="15"/>
      <c r="H28" s="15"/>
      <c r="I28" s="15"/>
      <c r="J28" s="15"/>
      <c r="K28" s="15"/>
      <c r="L28" s="15"/>
      <c r="M28" s="15"/>
      <c r="N28" s="15"/>
      <c r="O28" s="17"/>
      <c r="P28" s="26"/>
      <c r="Q28" s="1"/>
      <c r="R28" s="1"/>
      <c r="S28" s="1"/>
      <c r="T28" s="1"/>
      <c r="U28" s="1"/>
      <c r="V28" s="1"/>
      <c r="W28" s="1"/>
    </row>
    <row r="29" spans="1:23" ht="6.75" customHeight="1" x14ac:dyDescent="0.2">
      <c r="A29" s="26"/>
      <c r="B29" s="14"/>
      <c r="C29" s="15"/>
      <c r="D29" s="15"/>
      <c r="E29" s="15"/>
      <c r="F29" s="15"/>
      <c r="G29" s="15"/>
      <c r="H29" s="15"/>
      <c r="I29" s="15"/>
      <c r="J29" s="15"/>
      <c r="K29" s="15"/>
      <c r="L29" s="15"/>
      <c r="M29" s="15"/>
      <c r="N29" s="15"/>
      <c r="O29" s="17"/>
      <c r="P29" s="26"/>
      <c r="Q29" s="1"/>
      <c r="R29" s="1"/>
      <c r="S29" s="1"/>
      <c r="T29" s="1"/>
      <c r="U29" s="1"/>
      <c r="V29" s="1"/>
      <c r="W29" s="1"/>
    </row>
    <row r="30" spans="1:23" ht="15.75" x14ac:dyDescent="0.25">
      <c r="A30" s="26"/>
      <c r="B30" s="14"/>
      <c r="C30" s="15"/>
      <c r="D30" s="25" t="s">
        <v>13</v>
      </c>
      <c r="E30" s="25"/>
      <c r="F30" s="25"/>
      <c r="G30" s="15"/>
      <c r="H30" s="15"/>
      <c r="I30" s="15"/>
      <c r="J30" s="15"/>
      <c r="K30" s="15"/>
      <c r="L30" s="15"/>
      <c r="M30" s="15"/>
      <c r="N30" s="15"/>
      <c r="O30" s="17"/>
      <c r="P30" s="26"/>
      <c r="Q30" s="1"/>
      <c r="R30" s="1"/>
      <c r="S30" s="1"/>
      <c r="T30" s="1"/>
      <c r="U30" s="1"/>
      <c r="V30" s="1"/>
      <c r="W30" s="1"/>
    </row>
    <row r="31" spans="1:23" ht="6" customHeight="1" x14ac:dyDescent="0.2">
      <c r="A31" s="26"/>
      <c r="B31" s="14"/>
      <c r="C31" s="15"/>
      <c r="D31" s="15"/>
      <c r="E31" s="15"/>
      <c r="F31" s="15"/>
      <c r="G31" s="15"/>
      <c r="H31" s="15"/>
      <c r="I31" s="15"/>
      <c r="J31" s="15"/>
      <c r="K31" s="15"/>
      <c r="L31" s="15"/>
      <c r="M31" s="15"/>
      <c r="N31" s="15"/>
      <c r="O31" s="17"/>
      <c r="P31" s="26"/>
      <c r="Q31" s="1"/>
      <c r="R31" s="1"/>
      <c r="S31" s="1"/>
      <c r="T31" s="1"/>
      <c r="U31" s="1"/>
      <c r="V31" s="1"/>
      <c r="W31" s="1"/>
    </row>
    <row r="32" spans="1:23" x14ac:dyDescent="0.2">
      <c r="A32" s="26"/>
      <c r="B32" s="14"/>
      <c r="C32" s="22" t="s">
        <v>14</v>
      </c>
      <c r="D32" s="338" t="s">
        <v>128</v>
      </c>
      <c r="E32" s="338"/>
      <c r="F32" s="338"/>
      <c r="G32" s="338"/>
      <c r="H32" s="338"/>
      <c r="I32" s="338"/>
      <c r="J32" s="338"/>
      <c r="K32" s="338"/>
      <c r="L32" s="338"/>
      <c r="M32" s="338"/>
      <c r="N32" s="15"/>
      <c r="O32" s="17"/>
      <c r="P32" s="26"/>
      <c r="Q32" s="1"/>
      <c r="R32" s="1"/>
      <c r="S32" s="1"/>
      <c r="T32" s="1"/>
      <c r="U32" s="1"/>
      <c r="V32" s="1"/>
      <c r="W32" s="1"/>
    </row>
    <row r="33" spans="1:23" ht="6" customHeight="1" x14ac:dyDescent="0.2">
      <c r="A33" s="26"/>
      <c r="B33" s="14"/>
      <c r="C33" s="23"/>
      <c r="D33" s="15"/>
      <c r="E33" s="15"/>
      <c r="F33" s="15"/>
      <c r="G33" s="15"/>
      <c r="H33" s="15"/>
      <c r="I33" s="15"/>
      <c r="J33" s="15"/>
      <c r="K33" s="15"/>
      <c r="L33" s="15"/>
      <c r="M33" s="15"/>
      <c r="N33" s="15"/>
      <c r="O33" s="17"/>
      <c r="P33" s="26"/>
      <c r="Q33" s="1"/>
      <c r="R33" s="1"/>
      <c r="S33" s="1"/>
      <c r="T33" s="1"/>
      <c r="U33" s="1"/>
      <c r="V33" s="1"/>
      <c r="W33" s="1"/>
    </row>
    <row r="34" spans="1:23" x14ac:dyDescent="0.2">
      <c r="A34" s="26"/>
      <c r="B34" s="14"/>
      <c r="C34" s="23" t="s">
        <v>15</v>
      </c>
      <c r="D34" s="332" t="s">
        <v>84</v>
      </c>
      <c r="E34" s="332"/>
      <c r="F34" s="332"/>
      <c r="G34" s="15"/>
      <c r="H34" s="23" t="s">
        <v>17</v>
      </c>
      <c r="I34" s="23"/>
      <c r="J34" s="15"/>
      <c r="K34" s="333"/>
      <c r="L34" s="333"/>
      <c r="M34" s="333"/>
      <c r="N34" s="15"/>
      <c r="O34" s="17"/>
      <c r="P34" s="26"/>
      <c r="Q34" s="1"/>
      <c r="R34" s="1"/>
      <c r="S34" s="1"/>
      <c r="T34" s="1"/>
      <c r="U34" s="1"/>
      <c r="V34" s="1"/>
      <c r="W34" s="1"/>
    </row>
    <row r="35" spans="1:23" ht="6" customHeight="1" x14ac:dyDescent="0.2">
      <c r="A35" s="26"/>
      <c r="B35" s="14"/>
      <c r="C35" s="23"/>
      <c r="D35" s="15"/>
      <c r="E35" s="15"/>
      <c r="F35" s="15"/>
      <c r="G35" s="15"/>
      <c r="H35" s="23"/>
      <c r="I35" s="23"/>
      <c r="J35" s="15"/>
      <c r="K35" s="15"/>
      <c r="L35" s="15"/>
      <c r="M35" s="15"/>
      <c r="N35" s="15"/>
      <c r="O35" s="17"/>
      <c r="P35" s="26"/>
      <c r="Q35" s="1"/>
      <c r="R35" s="1"/>
      <c r="S35" s="1"/>
      <c r="T35" s="1"/>
      <c r="U35" s="1"/>
      <c r="V35" s="1"/>
      <c r="W35" s="1"/>
    </row>
    <row r="36" spans="1:23" x14ac:dyDescent="0.2">
      <c r="A36" s="26"/>
      <c r="B36" s="14"/>
      <c r="C36" s="23" t="s">
        <v>16</v>
      </c>
      <c r="D36" s="332" t="s">
        <v>85</v>
      </c>
      <c r="E36" s="332"/>
      <c r="F36" s="332"/>
      <c r="G36" s="15"/>
      <c r="H36" s="23" t="s">
        <v>18</v>
      </c>
      <c r="I36" s="23"/>
      <c r="J36" s="15"/>
      <c r="K36" s="333"/>
      <c r="L36" s="333"/>
      <c r="M36" s="333"/>
      <c r="N36" s="15"/>
      <c r="O36" s="17"/>
      <c r="P36" s="26"/>
      <c r="Q36" s="1"/>
      <c r="R36" s="1"/>
      <c r="S36" s="1"/>
      <c r="T36" s="1"/>
      <c r="U36" s="1"/>
      <c r="V36" s="1"/>
      <c r="W36" s="1"/>
    </row>
    <row r="37" spans="1:23" ht="6.75" customHeight="1" thickBot="1" x14ac:dyDescent="0.25">
      <c r="A37" s="26"/>
      <c r="B37" s="19"/>
      <c r="C37" s="20"/>
      <c r="D37" s="20"/>
      <c r="E37" s="20"/>
      <c r="F37" s="20"/>
      <c r="G37" s="20"/>
      <c r="H37" s="20"/>
      <c r="I37" s="20"/>
      <c r="J37" s="20"/>
      <c r="K37" s="20"/>
      <c r="L37" s="20"/>
      <c r="M37" s="20"/>
      <c r="N37" s="20"/>
      <c r="O37" s="18"/>
      <c r="P37" s="26"/>
      <c r="Q37" s="1"/>
      <c r="R37" s="1"/>
      <c r="S37" s="1"/>
      <c r="T37" s="1"/>
      <c r="U37" s="1"/>
      <c r="V37" s="1"/>
      <c r="W37" s="1"/>
    </row>
    <row r="38" spans="1:23" ht="13.5" customHeight="1" x14ac:dyDescent="0.2">
      <c r="A38" s="26"/>
      <c r="B38" s="26"/>
      <c r="C38" s="26"/>
      <c r="D38" s="26"/>
      <c r="E38" s="26"/>
      <c r="F38" s="26"/>
      <c r="G38" s="26"/>
      <c r="H38" s="26"/>
      <c r="I38" s="26"/>
      <c r="J38" s="26"/>
      <c r="K38" s="26"/>
      <c r="L38" s="26"/>
      <c r="M38" s="331" t="s">
        <v>61</v>
      </c>
      <c r="N38" s="331"/>
      <c r="O38" s="26"/>
      <c r="P38" s="26"/>
      <c r="Q38" s="1"/>
      <c r="R38" s="1"/>
      <c r="S38" s="1"/>
      <c r="T38" s="1"/>
      <c r="U38" s="1"/>
      <c r="V38" s="1"/>
      <c r="W38" s="1"/>
    </row>
    <row r="39" spans="1:23" x14ac:dyDescent="0.2">
      <c r="A39" s="1"/>
      <c r="B39" s="1"/>
      <c r="C39" s="1"/>
      <c r="D39" s="1"/>
      <c r="E39" s="1"/>
      <c r="F39" s="1"/>
      <c r="G39" s="1"/>
      <c r="H39" s="1"/>
      <c r="I39" s="1"/>
      <c r="J39" s="1"/>
      <c r="K39" s="1"/>
      <c r="L39" s="1"/>
      <c r="M39" s="1"/>
      <c r="N39" s="1"/>
      <c r="O39" s="1"/>
      <c r="P39" s="1"/>
      <c r="Q39" s="1"/>
      <c r="R39" s="1"/>
      <c r="S39" s="1"/>
      <c r="T39" s="1"/>
      <c r="U39" s="1"/>
      <c r="V39" s="1"/>
      <c r="W39" s="1"/>
    </row>
    <row r="40" spans="1:23" x14ac:dyDescent="0.2">
      <c r="A40" s="1"/>
      <c r="B40" s="1"/>
      <c r="C40" s="1"/>
      <c r="D40" s="1"/>
      <c r="E40" s="1"/>
      <c r="F40" s="1"/>
      <c r="G40" s="1"/>
      <c r="H40" s="1"/>
      <c r="I40" s="1"/>
      <c r="J40" s="1"/>
      <c r="K40" s="1"/>
      <c r="L40" s="1"/>
      <c r="M40" s="1"/>
      <c r="N40" s="1"/>
      <c r="O40" s="1"/>
      <c r="P40" s="1"/>
      <c r="Q40" s="1"/>
      <c r="R40" s="1"/>
      <c r="S40" s="1"/>
      <c r="T40" s="1"/>
      <c r="U40" s="1"/>
      <c r="V40" s="1"/>
      <c r="W40" s="1"/>
    </row>
    <row r="41" spans="1:23" x14ac:dyDescent="0.2">
      <c r="A41" s="1"/>
      <c r="B41" s="1"/>
      <c r="C41" s="1"/>
      <c r="D41" s="1"/>
      <c r="E41" s="1"/>
      <c r="F41" s="1"/>
      <c r="G41" s="1"/>
      <c r="H41" s="1"/>
      <c r="I41" s="1"/>
      <c r="J41" s="1"/>
      <c r="K41" s="1"/>
      <c r="L41" s="1"/>
      <c r="M41" s="1"/>
      <c r="N41" s="1"/>
      <c r="O41" s="1"/>
      <c r="P41" s="1"/>
      <c r="Q41" s="1"/>
      <c r="R41" s="1"/>
      <c r="S41" s="1"/>
      <c r="T41" s="1"/>
      <c r="U41" s="1"/>
      <c r="V41" s="1"/>
      <c r="W41" s="1"/>
    </row>
    <row r="42" spans="1:23" x14ac:dyDescent="0.2">
      <c r="A42" s="1"/>
      <c r="B42" s="1"/>
      <c r="C42" s="1"/>
      <c r="D42" s="1"/>
      <c r="E42" s="1"/>
      <c r="F42" s="1"/>
      <c r="G42" s="1"/>
      <c r="H42" s="1"/>
      <c r="I42" s="1"/>
      <c r="J42" s="1"/>
      <c r="K42" s="1"/>
      <c r="L42" s="1"/>
      <c r="M42" s="1"/>
      <c r="N42" s="1"/>
      <c r="O42" s="1"/>
      <c r="P42" s="1"/>
      <c r="Q42" s="1"/>
      <c r="R42" s="1"/>
      <c r="S42" s="1"/>
      <c r="T42" s="1"/>
      <c r="U42" s="1"/>
      <c r="V42" s="1"/>
      <c r="W42" s="1"/>
    </row>
    <row r="43" spans="1:23" x14ac:dyDescent="0.2">
      <c r="A43" s="1"/>
      <c r="B43" s="1"/>
      <c r="C43" s="1"/>
      <c r="D43" s="1"/>
      <c r="E43" s="1"/>
      <c r="F43" s="1"/>
      <c r="G43" s="1"/>
      <c r="H43" s="1"/>
      <c r="I43" s="1"/>
      <c r="J43" s="1"/>
      <c r="K43" s="1"/>
      <c r="L43" s="1"/>
      <c r="M43" s="1"/>
      <c r="N43" s="1"/>
      <c r="O43" s="1"/>
      <c r="P43" s="1"/>
      <c r="Q43" s="1"/>
      <c r="R43" s="1"/>
      <c r="S43" s="1"/>
      <c r="T43" s="1"/>
      <c r="U43" s="1"/>
      <c r="V43" s="1"/>
      <c r="W43" s="1"/>
    </row>
    <row r="44" spans="1:23" x14ac:dyDescent="0.2">
      <c r="A44" s="1"/>
      <c r="B44" s="1"/>
      <c r="C44" s="1"/>
      <c r="D44" s="1"/>
      <c r="E44" s="1"/>
      <c r="F44" s="1"/>
      <c r="G44" s="1"/>
      <c r="H44" s="1"/>
      <c r="I44" s="1"/>
      <c r="J44" s="1"/>
      <c r="K44" s="1"/>
      <c r="L44" s="1"/>
      <c r="M44" s="1"/>
      <c r="N44" s="1"/>
      <c r="O44" s="1"/>
      <c r="P44" s="1"/>
      <c r="Q44" s="1"/>
      <c r="R44" s="1"/>
      <c r="S44" s="1"/>
      <c r="T44" s="1"/>
      <c r="U44" s="1"/>
      <c r="V44" s="1"/>
      <c r="W44" s="1"/>
    </row>
    <row r="45" spans="1:23" x14ac:dyDescent="0.2">
      <c r="A45" s="1"/>
      <c r="B45" s="1"/>
      <c r="C45" s="1"/>
      <c r="D45" s="1"/>
      <c r="E45" s="1"/>
      <c r="F45" s="1"/>
      <c r="G45" s="1"/>
      <c r="H45" s="1"/>
      <c r="I45" s="1"/>
      <c r="J45" s="1"/>
      <c r="K45" s="1"/>
      <c r="L45" s="1"/>
      <c r="M45" s="1"/>
      <c r="N45" s="1"/>
      <c r="O45" s="1"/>
      <c r="P45" s="1"/>
      <c r="Q45" s="1"/>
      <c r="R45" s="1"/>
      <c r="S45" s="1"/>
      <c r="T45" s="1"/>
      <c r="U45" s="1"/>
      <c r="V45" s="1"/>
      <c r="W45" s="1"/>
    </row>
    <row r="46" spans="1:23" x14ac:dyDescent="0.2">
      <c r="A46" s="1"/>
      <c r="B46" s="1"/>
      <c r="C46" s="1"/>
      <c r="D46" s="1"/>
      <c r="E46" s="1"/>
      <c r="F46" s="1"/>
      <c r="G46" s="1"/>
      <c r="H46" s="1"/>
      <c r="I46" s="1"/>
      <c r="J46" s="1"/>
      <c r="K46" s="1"/>
      <c r="L46" s="1"/>
      <c r="M46" s="1"/>
      <c r="N46" s="1"/>
      <c r="O46" s="1"/>
      <c r="P46" s="1"/>
      <c r="Q46" s="1"/>
      <c r="R46" s="1"/>
      <c r="S46" s="1"/>
      <c r="T46" s="1"/>
      <c r="U46" s="1"/>
      <c r="V46" s="1"/>
      <c r="W46" s="1"/>
    </row>
    <row r="47" spans="1:23" x14ac:dyDescent="0.2">
      <c r="A47" s="1"/>
      <c r="B47" s="1"/>
      <c r="C47" s="1"/>
      <c r="D47" s="1"/>
      <c r="E47" s="1"/>
      <c r="F47" s="1"/>
      <c r="G47" s="1"/>
      <c r="H47" s="1"/>
      <c r="I47" s="1"/>
      <c r="J47" s="1"/>
      <c r="K47" s="1"/>
      <c r="L47" s="1"/>
      <c r="M47" s="1"/>
      <c r="N47" s="1"/>
      <c r="O47" s="1"/>
      <c r="P47" s="1"/>
      <c r="Q47" s="1"/>
      <c r="R47" s="1"/>
      <c r="S47" s="1"/>
      <c r="T47" s="1"/>
      <c r="U47" s="1"/>
      <c r="V47" s="1"/>
      <c r="W47" s="1"/>
    </row>
    <row r="48" spans="1:23" x14ac:dyDescent="0.2">
      <c r="A48" s="1"/>
      <c r="B48" s="1"/>
      <c r="C48" s="1"/>
      <c r="D48" s="1"/>
      <c r="E48" s="1"/>
      <c r="F48" s="1"/>
      <c r="G48" s="1"/>
      <c r="H48" s="1"/>
      <c r="I48" s="1"/>
      <c r="J48" s="1"/>
      <c r="K48" s="1"/>
      <c r="L48" s="1"/>
      <c r="M48" s="1"/>
      <c r="N48" s="1"/>
      <c r="O48" s="1"/>
      <c r="P48" s="1"/>
      <c r="Q48" s="1"/>
      <c r="R48" s="1"/>
      <c r="S48" s="1"/>
      <c r="T48" s="1"/>
      <c r="U48" s="1"/>
      <c r="V48" s="1"/>
      <c r="W48" s="1"/>
    </row>
    <row r="49" spans="1:23" x14ac:dyDescent="0.2">
      <c r="A49" s="1"/>
      <c r="B49" s="1"/>
      <c r="C49" s="1"/>
      <c r="D49" s="1"/>
      <c r="E49" s="1"/>
      <c r="F49" s="1"/>
      <c r="G49" s="1"/>
      <c r="H49" s="1"/>
      <c r="I49" s="1"/>
      <c r="J49" s="1"/>
      <c r="K49" s="1"/>
      <c r="L49" s="1"/>
      <c r="M49" s="1"/>
      <c r="N49" s="1"/>
      <c r="O49" s="1"/>
      <c r="P49" s="1"/>
      <c r="Q49" s="1"/>
      <c r="R49" s="1"/>
      <c r="S49" s="1"/>
      <c r="T49" s="1"/>
      <c r="U49" s="1"/>
      <c r="V49" s="1"/>
      <c r="W49" s="1"/>
    </row>
    <row r="50" spans="1:23" x14ac:dyDescent="0.2">
      <c r="A50" s="1"/>
      <c r="B50" s="1"/>
      <c r="C50" s="1"/>
      <c r="D50" s="1"/>
      <c r="E50" s="1"/>
      <c r="F50" s="1"/>
      <c r="G50" s="1"/>
      <c r="H50" s="1"/>
      <c r="I50" s="1"/>
      <c r="J50" s="1"/>
      <c r="K50" s="1"/>
      <c r="L50" s="1"/>
      <c r="M50" s="1"/>
      <c r="N50" s="1"/>
      <c r="O50" s="1"/>
      <c r="P50" s="1"/>
      <c r="Q50" s="1"/>
      <c r="R50" s="1"/>
      <c r="S50" s="1"/>
      <c r="T50" s="1"/>
      <c r="U50" s="1"/>
      <c r="V50" s="1"/>
      <c r="W50" s="1"/>
    </row>
    <row r="51" spans="1:23" x14ac:dyDescent="0.2">
      <c r="A51" s="1"/>
      <c r="B51" s="1"/>
      <c r="C51" s="1"/>
      <c r="D51" s="1"/>
      <c r="E51" s="1"/>
      <c r="F51" s="1"/>
      <c r="G51" s="1"/>
      <c r="H51" s="1"/>
      <c r="I51" s="1"/>
      <c r="J51" s="1"/>
      <c r="K51" s="1"/>
      <c r="L51" s="1"/>
      <c r="M51" s="1"/>
      <c r="N51" s="1"/>
      <c r="O51" s="1"/>
      <c r="P51" s="1"/>
      <c r="Q51" s="1"/>
      <c r="R51" s="1"/>
      <c r="S51" s="1"/>
      <c r="T51" s="1"/>
      <c r="U51" s="1"/>
      <c r="V51" s="1"/>
      <c r="W51" s="1"/>
    </row>
    <row r="52" spans="1:23" x14ac:dyDescent="0.2">
      <c r="A52" s="1"/>
      <c r="B52" s="1"/>
      <c r="C52" s="1"/>
      <c r="D52" s="1"/>
      <c r="E52" s="1"/>
      <c r="F52" s="1"/>
      <c r="G52" s="1"/>
      <c r="H52" s="1"/>
      <c r="I52" s="1"/>
      <c r="J52" s="1"/>
      <c r="K52" s="1"/>
      <c r="L52" s="1"/>
      <c r="M52" s="1"/>
      <c r="N52" s="1"/>
      <c r="O52" s="1"/>
      <c r="P52" s="1"/>
      <c r="Q52" s="1"/>
      <c r="R52" s="1"/>
      <c r="S52" s="1"/>
      <c r="T52" s="1"/>
      <c r="U52" s="1"/>
      <c r="V52" s="1"/>
      <c r="W52" s="1"/>
    </row>
    <row r="53" spans="1:23" x14ac:dyDescent="0.2">
      <c r="A53" s="1"/>
      <c r="B53" s="1"/>
      <c r="C53" s="1"/>
      <c r="D53" s="1"/>
      <c r="E53" s="1"/>
      <c r="F53" s="1"/>
      <c r="G53" s="1"/>
      <c r="H53" s="1"/>
      <c r="I53" s="1"/>
      <c r="J53" s="1"/>
      <c r="K53" s="1"/>
      <c r="L53" s="1"/>
      <c r="M53" s="1"/>
      <c r="N53" s="1"/>
      <c r="O53" s="1"/>
      <c r="P53" s="1"/>
      <c r="Q53" s="1"/>
      <c r="R53" s="1"/>
      <c r="S53" s="1"/>
      <c r="T53" s="1"/>
      <c r="U53" s="1"/>
      <c r="V53" s="1"/>
      <c r="W53" s="1"/>
    </row>
    <row r="54" spans="1:23" x14ac:dyDescent="0.2">
      <c r="A54" s="1"/>
      <c r="B54" s="1"/>
      <c r="C54" s="1"/>
      <c r="D54" s="1"/>
      <c r="E54" s="1"/>
      <c r="F54" s="1"/>
      <c r="G54" s="1"/>
      <c r="H54" s="1"/>
      <c r="I54" s="1"/>
      <c r="J54" s="1"/>
      <c r="K54" s="1"/>
      <c r="L54" s="1"/>
      <c r="M54" s="1"/>
      <c r="N54" s="1"/>
      <c r="O54" s="1"/>
      <c r="P54" s="1"/>
      <c r="Q54" s="1"/>
      <c r="R54" s="1"/>
      <c r="S54" s="1"/>
      <c r="T54" s="1"/>
      <c r="U54" s="1"/>
      <c r="V54" s="1"/>
      <c r="W54" s="1"/>
    </row>
    <row r="55" spans="1:23" x14ac:dyDescent="0.2">
      <c r="A55" s="1"/>
      <c r="B55" s="1"/>
      <c r="C55" s="1"/>
      <c r="D55" s="1"/>
      <c r="E55" s="1"/>
      <c r="F55" s="1"/>
      <c r="G55" s="1"/>
      <c r="H55" s="1"/>
      <c r="I55" s="1"/>
      <c r="J55" s="1"/>
      <c r="K55" s="1"/>
      <c r="L55" s="1"/>
      <c r="M55" s="1"/>
      <c r="N55" s="1"/>
      <c r="O55" s="1"/>
      <c r="P55" s="1"/>
      <c r="Q55" s="1"/>
      <c r="R55" s="1"/>
      <c r="S55" s="1"/>
      <c r="T55" s="1"/>
      <c r="U55" s="1"/>
      <c r="V55" s="1"/>
      <c r="W55" s="1"/>
    </row>
    <row r="56" spans="1:23" x14ac:dyDescent="0.2">
      <c r="A56" s="1"/>
      <c r="B56" s="1"/>
      <c r="C56" s="1"/>
      <c r="D56" s="1"/>
      <c r="E56" s="1"/>
      <c r="F56" s="1"/>
      <c r="G56" s="1"/>
      <c r="H56" s="1"/>
      <c r="I56" s="1"/>
      <c r="J56" s="1"/>
      <c r="K56" s="1"/>
      <c r="L56" s="1"/>
      <c r="M56" s="1"/>
      <c r="N56" s="1"/>
      <c r="O56" s="1"/>
      <c r="P56" s="1"/>
      <c r="Q56" s="1"/>
      <c r="R56" s="1"/>
      <c r="S56" s="1"/>
      <c r="T56" s="1"/>
      <c r="U56" s="1"/>
      <c r="V56" s="1"/>
      <c r="W56" s="1"/>
    </row>
    <row r="57" spans="1:23" x14ac:dyDescent="0.2">
      <c r="A57" s="1"/>
      <c r="B57" s="1"/>
      <c r="C57" s="1"/>
      <c r="D57" s="1"/>
      <c r="E57" s="1"/>
      <c r="F57" s="1"/>
      <c r="G57" s="1"/>
      <c r="H57" s="1"/>
      <c r="I57" s="1"/>
      <c r="J57" s="1"/>
      <c r="K57" s="1"/>
      <c r="L57" s="1"/>
      <c r="M57" s="1"/>
      <c r="N57" s="1"/>
      <c r="O57" s="1"/>
      <c r="P57" s="1"/>
      <c r="Q57" s="1"/>
      <c r="R57" s="1"/>
      <c r="S57" s="1"/>
      <c r="T57" s="1"/>
      <c r="U57" s="1"/>
      <c r="V57" s="1"/>
      <c r="W57" s="1"/>
    </row>
    <row r="58" spans="1:23" x14ac:dyDescent="0.2">
      <c r="A58" s="1"/>
      <c r="B58" s="1"/>
      <c r="C58" s="1"/>
      <c r="D58" s="1"/>
      <c r="E58" s="1"/>
      <c r="F58" s="1"/>
      <c r="G58" s="1"/>
      <c r="H58" s="1"/>
      <c r="I58" s="1"/>
      <c r="J58" s="1"/>
      <c r="K58" s="1"/>
      <c r="L58" s="1"/>
      <c r="M58" s="1"/>
      <c r="N58" s="1"/>
      <c r="O58" s="1"/>
      <c r="P58" s="1"/>
      <c r="Q58" s="1"/>
      <c r="R58" s="1"/>
      <c r="S58" s="1"/>
      <c r="T58" s="1"/>
      <c r="U58" s="1"/>
      <c r="V58" s="1"/>
      <c r="W58" s="1"/>
    </row>
    <row r="59" spans="1:23" x14ac:dyDescent="0.2">
      <c r="A59" s="1"/>
      <c r="B59" s="1"/>
      <c r="C59" s="1"/>
      <c r="D59" s="1"/>
      <c r="E59" s="1"/>
      <c r="F59" s="1"/>
      <c r="G59" s="1"/>
      <c r="H59" s="1"/>
      <c r="I59" s="1"/>
      <c r="J59" s="1"/>
      <c r="K59" s="1"/>
      <c r="L59" s="1"/>
      <c r="M59" s="1"/>
      <c r="N59" s="1"/>
      <c r="O59" s="1"/>
      <c r="P59" s="1"/>
      <c r="Q59" s="1"/>
      <c r="R59" s="1"/>
      <c r="S59" s="1"/>
      <c r="T59" s="1"/>
      <c r="U59" s="1"/>
      <c r="V59" s="1"/>
      <c r="W59" s="1"/>
    </row>
    <row r="60" spans="1:23" x14ac:dyDescent="0.2">
      <c r="A60" s="1"/>
      <c r="B60" s="1"/>
      <c r="C60" s="1"/>
      <c r="D60" s="1"/>
      <c r="E60" s="1"/>
      <c r="F60" s="1"/>
      <c r="G60" s="1"/>
      <c r="H60" s="1"/>
      <c r="I60" s="1"/>
      <c r="J60" s="1"/>
      <c r="K60" s="1"/>
      <c r="L60" s="1"/>
      <c r="M60" s="1"/>
      <c r="N60" s="1"/>
      <c r="O60" s="1"/>
      <c r="P60" s="1"/>
      <c r="Q60" s="1"/>
      <c r="R60" s="1"/>
      <c r="S60" s="1"/>
      <c r="T60" s="1"/>
      <c r="U60" s="1"/>
      <c r="V60" s="1"/>
      <c r="W60" s="1"/>
    </row>
    <row r="61" spans="1:23" x14ac:dyDescent="0.2">
      <c r="A61" s="1"/>
      <c r="B61" s="1"/>
      <c r="C61" s="1"/>
      <c r="D61" s="1"/>
      <c r="E61" s="1"/>
      <c r="F61" s="1"/>
      <c r="G61" s="1"/>
      <c r="H61" s="1"/>
      <c r="I61" s="1"/>
      <c r="J61" s="1"/>
      <c r="K61" s="1"/>
      <c r="L61" s="1"/>
      <c r="M61" s="1"/>
      <c r="N61" s="1"/>
      <c r="O61" s="1"/>
      <c r="P61" s="1"/>
      <c r="Q61" s="1"/>
      <c r="R61" s="1"/>
      <c r="S61" s="1"/>
      <c r="T61" s="1"/>
      <c r="U61" s="1"/>
      <c r="V61" s="1"/>
      <c r="W61" s="1"/>
    </row>
    <row r="62" spans="1:23" x14ac:dyDescent="0.2">
      <c r="A62" s="1"/>
      <c r="B62" s="1"/>
      <c r="C62" s="1"/>
      <c r="D62" s="1"/>
      <c r="E62" s="1"/>
      <c r="F62" s="1"/>
      <c r="G62" s="1"/>
      <c r="H62" s="1"/>
      <c r="I62" s="1"/>
      <c r="J62" s="1"/>
      <c r="K62" s="1"/>
      <c r="L62" s="1"/>
      <c r="M62" s="1"/>
      <c r="N62" s="1"/>
      <c r="O62" s="1"/>
      <c r="P62" s="1"/>
      <c r="Q62" s="1"/>
      <c r="R62" s="1"/>
      <c r="S62" s="1"/>
      <c r="T62" s="1"/>
      <c r="U62" s="1"/>
      <c r="V62" s="1"/>
      <c r="W62" s="1"/>
    </row>
    <row r="63" spans="1:23" x14ac:dyDescent="0.2">
      <c r="A63" s="1"/>
      <c r="B63" s="1"/>
      <c r="C63" s="1"/>
      <c r="D63" s="1"/>
      <c r="E63" s="1"/>
      <c r="F63" s="1"/>
      <c r="G63" s="1"/>
      <c r="H63" s="1"/>
      <c r="I63" s="1"/>
      <c r="J63" s="1"/>
      <c r="K63" s="1"/>
      <c r="L63" s="1"/>
      <c r="M63" s="1"/>
      <c r="N63" s="1"/>
      <c r="O63" s="1"/>
      <c r="P63" s="1"/>
      <c r="Q63" s="1"/>
      <c r="R63" s="1"/>
      <c r="S63" s="1"/>
      <c r="T63" s="1"/>
      <c r="U63" s="1"/>
      <c r="V63" s="1"/>
      <c r="W63" s="1"/>
    </row>
    <row r="64" spans="1:23" x14ac:dyDescent="0.2">
      <c r="A64" s="1"/>
      <c r="B64" s="1"/>
      <c r="C64" s="1"/>
      <c r="D64" s="1"/>
      <c r="E64" s="1"/>
      <c r="F64" s="1"/>
      <c r="G64" s="1"/>
      <c r="H64" s="1"/>
      <c r="I64" s="1"/>
      <c r="J64" s="1"/>
      <c r="K64" s="1"/>
      <c r="L64" s="1"/>
      <c r="M64" s="1"/>
      <c r="N64" s="1"/>
      <c r="O64" s="1"/>
      <c r="P64" s="1"/>
      <c r="Q64" s="1"/>
      <c r="R64" s="1"/>
      <c r="S64" s="1"/>
      <c r="T64" s="1"/>
      <c r="U64" s="1"/>
      <c r="V64" s="1"/>
      <c r="W64" s="1"/>
    </row>
    <row r="65" spans="1:23" x14ac:dyDescent="0.2">
      <c r="A65" s="1"/>
      <c r="B65" s="1"/>
      <c r="C65" s="1"/>
      <c r="D65" s="1"/>
      <c r="E65" s="1"/>
      <c r="F65" s="1"/>
      <c r="G65" s="1"/>
      <c r="H65" s="1"/>
      <c r="I65" s="1"/>
      <c r="J65" s="1"/>
      <c r="K65" s="1"/>
      <c r="L65" s="1"/>
      <c r="M65" s="1"/>
      <c r="N65" s="1"/>
      <c r="O65" s="1"/>
      <c r="P65" s="1"/>
      <c r="Q65" s="1"/>
      <c r="R65" s="1"/>
      <c r="S65" s="1"/>
      <c r="T65" s="1"/>
      <c r="U65" s="1"/>
      <c r="V65" s="1"/>
      <c r="W65" s="1"/>
    </row>
    <row r="66" spans="1:23" x14ac:dyDescent="0.2">
      <c r="A66" s="1"/>
      <c r="B66" s="1"/>
      <c r="C66" s="1"/>
      <c r="D66" s="1"/>
      <c r="E66" s="1"/>
      <c r="F66" s="1"/>
      <c r="G66" s="1"/>
      <c r="H66" s="1"/>
      <c r="I66" s="1"/>
      <c r="J66" s="1"/>
      <c r="K66" s="1"/>
      <c r="L66" s="1"/>
      <c r="M66" s="1"/>
      <c r="N66" s="1"/>
      <c r="O66" s="1"/>
      <c r="P66" s="1"/>
      <c r="Q66" s="1"/>
      <c r="R66" s="1"/>
      <c r="S66" s="1"/>
      <c r="T66" s="1"/>
      <c r="U66" s="1"/>
      <c r="V66" s="1"/>
      <c r="W66" s="1"/>
    </row>
    <row r="67" spans="1:23" x14ac:dyDescent="0.2">
      <c r="A67" s="1"/>
      <c r="B67" s="1"/>
      <c r="C67" s="1"/>
      <c r="D67" s="1"/>
      <c r="E67" s="1"/>
      <c r="F67" s="1"/>
      <c r="G67" s="1"/>
      <c r="H67" s="1"/>
      <c r="I67" s="1"/>
      <c r="J67" s="1"/>
      <c r="K67" s="1"/>
      <c r="L67" s="1"/>
      <c r="M67" s="1"/>
      <c r="N67" s="1"/>
      <c r="O67" s="1"/>
      <c r="P67" s="1"/>
      <c r="Q67" s="1"/>
      <c r="R67" s="1"/>
      <c r="S67" s="1"/>
      <c r="T67" s="1"/>
      <c r="U67" s="1"/>
      <c r="V67" s="1"/>
      <c r="W67" s="1"/>
    </row>
    <row r="68" spans="1:23" x14ac:dyDescent="0.2">
      <c r="A68" s="1"/>
      <c r="B68" s="1"/>
      <c r="C68" s="1"/>
      <c r="D68" s="1"/>
      <c r="E68" s="1"/>
      <c r="F68" s="1"/>
      <c r="G68" s="1"/>
      <c r="H68" s="1"/>
      <c r="I68" s="1"/>
      <c r="J68" s="1"/>
      <c r="K68" s="1"/>
      <c r="L68" s="1"/>
      <c r="M68" s="1"/>
      <c r="N68" s="1"/>
      <c r="O68" s="1"/>
      <c r="P68" s="1"/>
      <c r="Q68" s="1"/>
      <c r="R68" s="1"/>
      <c r="S68" s="1"/>
      <c r="T68" s="1"/>
      <c r="U68" s="1"/>
      <c r="V68" s="1"/>
      <c r="W68" s="1"/>
    </row>
    <row r="69" spans="1:23" x14ac:dyDescent="0.2">
      <c r="A69" s="1"/>
      <c r="B69" s="1"/>
      <c r="C69" s="1"/>
      <c r="D69" s="1"/>
      <c r="E69" s="1"/>
      <c r="F69" s="1"/>
      <c r="G69" s="1"/>
      <c r="H69" s="1"/>
      <c r="I69" s="1"/>
      <c r="J69" s="1"/>
      <c r="K69" s="1"/>
      <c r="L69" s="1"/>
      <c r="M69" s="1"/>
      <c r="N69" s="1"/>
      <c r="O69" s="1"/>
      <c r="P69" s="1"/>
      <c r="Q69" s="1"/>
      <c r="R69" s="1"/>
      <c r="S69" s="1"/>
      <c r="T69" s="1"/>
      <c r="U69" s="1"/>
      <c r="V69" s="1"/>
      <c r="W69" s="1"/>
    </row>
    <row r="70" spans="1:23" x14ac:dyDescent="0.2">
      <c r="A70" s="1"/>
      <c r="B70" s="1"/>
      <c r="C70" s="1"/>
      <c r="D70" s="1"/>
      <c r="E70" s="1"/>
      <c r="F70" s="1"/>
      <c r="G70" s="1"/>
      <c r="H70" s="1"/>
      <c r="I70" s="1"/>
      <c r="J70" s="1"/>
      <c r="K70" s="1"/>
      <c r="L70" s="1"/>
      <c r="M70" s="1"/>
      <c r="N70" s="1"/>
      <c r="O70" s="1"/>
      <c r="P70" s="1"/>
      <c r="Q70" s="1"/>
      <c r="R70" s="1"/>
      <c r="S70" s="1"/>
      <c r="T70" s="1"/>
      <c r="U70" s="1"/>
      <c r="V70" s="1"/>
      <c r="W70" s="1"/>
    </row>
    <row r="71" spans="1:23" x14ac:dyDescent="0.2">
      <c r="A71" s="1"/>
      <c r="B71" s="1"/>
      <c r="C71" s="1"/>
      <c r="D71" s="1"/>
      <c r="E71" s="1"/>
      <c r="F71" s="1"/>
      <c r="G71" s="1"/>
      <c r="H71" s="1"/>
      <c r="I71" s="1"/>
      <c r="J71" s="1"/>
      <c r="K71" s="1"/>
      <c r="L71" s="1"/>
      <c r="M71" s="1"/>
      <c r="N71" s="1"/>
      <c r="O71" s="1"/>
      <c r="P71" s="1"/>
      <c r="Q71" s="1"/>
      <c r="R71" s="1"/>
      <c r="S71" s="1"/>
      <c r="T71" s="1"/>
      <c r="U71" s="1"/>
      <c r="V71" s="1"/>
      <c r="W71" s="1"/>
    </row>
    <row r="72" spans="1:23" x14ac:dyDescent="0.2">
      <c r="A72" s="1"/>
      <c r="B72" s="1"/>
      <c r="C72" s="1"/>
      <c r="D72" s="1"/>
      <c r="E72" s="1"/>
      <c r="F72" s="1"/>
      <c r="G72" s="1"/>
      <c r="H72" s="1"/>
      <c r="I72" s="1"/>
      <c r="J72" s="1"/>
      <c r="K72" s="1"/>
      <c r="L72" s="1"/>
      <c r="M72" s="1"/>
      <c r="N72" s="1"/>
      <c r="O72" s="1"/>
      <c r="P72" s="1"/>
      <c r="Q72" s="1"/>
      <c r="R72" s="1"/>
      <c r="S72" s="1"/>
      <c r="T72" s="1"/>
      <c r="U72" s="1"/>
      <c r="V72" s="1"/>
      <c r="W72" s="1"/>
    </row>
    <row r="73" spans="1:23" x14ac:dyDescent="0.2">
      <c r="A73" s="1"/>
      <c r="B73" s="1"/>
      <c r="C73" s="1"/>
      <c r="D73" s="1"/>
      <c r="E73" s="1"/>
      <c r="F73" s="1"/>
      <c r="G73" s="1"/>
      <c r="H73" s="1"/>
      <c r="I73" s="1"/>
      <c r="J73" s="1"/>
      <c r="K73" s="1"/>
      <c r="L73" s="1"/>
      <c r="M73" s="1"/>
      <c r="N73" s="1"/>
      <c r="O73" s="1"/>
      <c r="P73" s="1"/>
      <c r="Q73" s="1"/>
      <c r="R73" s="1"/>
      <c r="S73" s="1"/>
      <c r="T73" s="1"/>
      <c r="U73" s="1"/>
      <c r="V73" s="1"/>
      <c r="W73" s="1"/>
    </row>
    <row r="74" spans="1:23" x14ac:dyDescent="0.2">
      <c r="A74" s="1"/>
      <c r="B74" s="1"/>
      <c r="C74" s="1"/>
      <c r="D74" s="1"/>
      <c r="E74" s="1"/>
      <c r="F74" s="1"/>
      <c r="G74" s="1"/>
      <c r="H74" s="1"/>
      <c r="I74" s="1"/>
      <c r="J74" s="1"/>
      <c r="K74" s="1"/>
      <c r="L74" s="1"/>
      <c r="M74" s="1"/>
      <c r="N74" s="1"/>
      <c r="O74" s="1"/>
      <c r="P74" s="1"/>
      <c r="Q74" s="1"/>
      <c r="R74" s="1"/>
      <c r="S74" s="1"/>
      <c r="T74" s="1"/>
      <c r="U74" s="1"/>
      <c r="V74" s="1"/>
      <c r="W74" s="1"/>
    </row>
    <row r="75" spans="1:23" x14ac:dyDescent="0.2">
      <c r="A75" s="1"/>
      <c r="B75" s="1"/>
      <c r="C75" s="1"/>
      <c r="D75" s="1"/>
      <c r="E75" s="1"/>
      <c r="F75" s="1"/>
      <c r="G75" s="1"/>
      <c r="H75" s="1"/>
      <c r="I75" s="1"/>
      <c r="J75" s="1"/>
      <c r="K75" s="1"/>
      <c r="L75" s="1"/>
      <c r="M75" s="1"/>
      <c r="N75" s="1"/>
      <c r="O75" s="1"/>
      <c r="P75" s="1"/>
      <c r="Q75" s="1"/>
      <c r="R75" s="1"/>
      <c r="S75" s="1"/>
      <c r="T75" s="1"/>
      <c r="U75" s="1"/>
      <c r="V75" s="1"/>
      <c r="W75" s="1"/>
    </row>
    <row r="76" spans="1:23" x14ac:dyDescent="0.2">
      <c r="A76" s="1"/>
      <c r="B76" s="1"/>
      <c r="C76" s="1"/>
      <c r="D76" s="1"/>
      <c r="E76" s="1"/>
      <c r="F76" s="1"/>
      <c r="G76" s="1"/>
      <c r="H76" s="1"/>
      <c r="I76" s="1"/>
      <c r="J76" s="1"/>
      <c r="K76" s="1"/>
      <c r="L76" s="1"/>
      <c r="M76" s="1"/>
      <c r="N76" s="1"/>
      <c r="O76" s="1"/>
      <c r="P76" s="1"/>
      <c r="Q76" s="1"/>
      <c r="R76" s="1"/>
      <c r="S76" s="1"/>
      <c r="T76" s="1"/>
      <c r="U76" s="1"/>
      <c r="V76" s="1"/>
      <c r="W76" s="1"/>
    </row>
    <row r="77" spans="1:23" x14ac:dyDescent="0.2">
      <c r="A77" s="1"/>
      <c r="B77" s="1"/>
      <c r="C77" s="1"/>
      <c r="D77" s="1"/>
      <c r="E77" s="1"/>
      <c r="F77" s="1"/>
      <c r="G77" s="1"/>
      <c r="H77" s="1"/>
      <c r="I77" s="1"/>
      <c r="J77" s="1"/>
      <c r="K77" s="1"/>
      <c r="L77" s="1"/>
      <c r="M77" s="1"/>
      <c r="N77" s="1"/>
      <c r="O77" s="1"/>
      <c r="P77" s="1"/>
      <c r="Q77" s="1"/>
      <c r="R77" s="1"/>
      <c r="S77" s="1"/>
      <c r="T77" s="1"/>
      <c r="U77" s="1"/>
      <c r="V77" s="1"/>
      <c r="W77" s="1"/>
    </row>
    <row r="78" spans="1:23" x14ac:dyDescent="0.2">
      <c r="A78" s="1"/>
      <c r="B78" s="1"/>
      <c r="C78" s="1"/>
      <c r="D78" s="1"/>
      <c r="E78" s="1"/>
      <c r="F78" s="1"/>
      <c r="G78" s="1"/>
      <c r="H78" s="1"/>
      <c r="I78" s="1"/>
      <c r="J78" s="1"/>
      <c r="K78" s="1"/>
      <c r="L78" s="1"/>
      <c r="M78" s="1"/>
      <c r="N78" s="1"/>
      <c r="O78" s="1"/>
      <c r="P78" s="1"/>
      <c r="Q78" s="1"/>
      <c r="R78" s="1"/>
      <c r="S78" s="1"/>
      <c r="T78" s="1"/>
      <c r="U78" s="1"/>
      <c r="V78" s="1"/>
      <c r="W78" s="1"/>
    </row>
    <row r="79" spans="1:23" x14ac:dyDescent="0.2">
      <c r="A79" s="1"/>
      <c r="B79" s="1"/>
      <c r="C79" s="1"/>
      <c r="D79" s="1"/>
      <c r="E79" s="1"/>
      <c r="F79" s="1"/>
      <c r="G79" s="1"/>
      <c r="H79" s="1"/>
      <c r="I79" s="1"/>
      <c r="J79" s="1"/>
      <c r="K79" s="1"/>
      <c r="L79" s="1"/>
      <c r="M79" s="1"/>
      <c r="N79" s="1"/>
      <c r="O79" s="1"/>
      <c r="P79" s="1"/>
      <c r="Q79" s="1"/>
      <c r="R79" s="1"/>
      <c r="S79" s="1"/>
      <c r="T79" s="1"/>
      <c r="U79" s="1"/>
      <c r="V79" s="1"/>
      <c r="W79" s="1"/>
    </row>
    <row r="80" spans="1:23" x14ac:dyDescent="0.2">
      <c r="A80" s="1"/>
      <c r="B80" s="1"/>
      <c r="C80" s="1"/>
      <c r="D80" s="1"/>
      <c r="E80" s="1"/>
      <c r="F80" s="1"/>
      <c r="G80" s="1"/>
      <c r="H80" s="1"/>
      <c r="I80" s="1"/>
      <c r="J80" s="1"/>
      <c r="K80" s="1"/>
      <c r="L80" s="1"/>
      <c r="M80" s="1"/>
      <c r="N80" s="1"/>
      <c r="O80" s="1"/>
      <c r="P80" s="1"/>
      <c r="Q80" s="1"/>
      <c r="R80" s="1"/>
      <c r="S80" s="1"/>
      <c r="T80" s="1"/>
      <c r="U80" s="1"/>
      <c r="V80" s="1"/>
      <c r="W80" s="1"/>
    </row>
    <row r="81" spans="1:23" x14ac:dyDescent="0.2">
      <c r="A81" s="1"/>
      <c r="B81" s="1"/>
      <c r="C81" s="1"/>
      <c r="D81" s="1"/>
      <c r="E81" s="1"/>
      <c r="F81" s="1"/>
      <c r="G81" s="1"/>
      <c r="H81" s="1"/>
      <c r="I81" s="1"/>
      <c r="J81" s="1"/>
      <c r="K81" s="1"/>
      <c r="L81" s="1"/>
      <c r="M81" s="1"/>
      <c r="N81" s="1"/>
      <c r="O81" s="1"/>
      <c r="P81" s="1"/>
      <c r="Q81" s="1"/>
      <c r="R81" s="1"/>
      <c r="S81" s="1"/>
      <c r="T81" s="1"/>
      <c r="U81" s="1"/>
      <c r="V81" s="1"/>
      <c r="W81" s="1"/>
    </row>
    <row r="82" spans="1:23" x14ac:dyDescent="0.2">
      <c r="A82" s="1"/>
      <c r="B82" s="1"/>
      <c r="C82" s="1"/>
      <c r="D82" s="1"/>
      <c r="E82" s="1"/>
      <c r="F82" s="1"/>
      <c r="G82" s="1"/>
      <c r="H82" s="1"/>
      <c r="I82" s="1"/>
      <c r="J82" s="1"/>
      <c r="K82" s="1"/>
      <c r="L82" s="1"/>
      <c r="M82" s="1"/>
      <c r="N82" s="1"/>
      <c r="O82" s="1"/>
      <c r="P82" s="1"/>
      <c r="Q82" s="1"/>
      <c r="R82" s="1"/>
      <c r="S82" s="1"/>
      <c r="T82" s="1"/>
      <c r="U82" s="1"/>
      <c r="V82" s="1"/>
      <c r="W82" s="1"/>
    </row>
    <row r="83" spans="1:23" x14ac:dyDescent="0.2">
      <c r="A83" s="1"/>
      <c r="B83" s="1"/>
      <c r="C83" s="1"/>
      <c r="D83" s="1"/>
      <c r="E83" s="1"/>
      <c r="F83" s="1"/>
      <c r="G83" s="1"/>
      <c r="H83" s="1"/>
      <c r="I83" s="1"/>
      <c r="J83" s="1"/>
      <c r="K83" s="1"/>
      <c r="L83" s="1"/>
      <c r="M83" s="1"/>
      <c r="N83" s="1"/>
      <c r="O83" s="1"/>
      <c r="P83" s="1"/>
      <c r="Q83" s="1"/>
      <c r="R83" s="1"/>
      <c r="S83" s="1"/>
      <c r="T83" s="1"/>
      <c r="U83" s="1"/>
      <c r="V83" s="1"/>
      <c r="W83" s="1"/>
    </row>
    <row r="84" spans="1:23" x14ac:dyDescent="0.2">
      <c r="P84" s="1"/>
      <c r="Q84" s="1"/>
      <c r="R84" s="1"/>
      <c r="S84" s="1"/>
      <c r="T84" s="1"/>
      <c r="U84" s="1"/>
      <c r="V84" s="1"/>
      <c r="W84" s="1"/>
    </row>
    <row r="85" spans="1:23" x14ac:dyDescent="0.2">
      <c r="P85" s="1"/>
      <c r="Q85" s="1"/>
      <c r="R85" s="1"/>
      <c r="S85" s="1"/>
      <c r="T85" s="1"/>
      <c r="U85" s="1"/>
      <c r="V85" s="1"/>
      <c r="W85" s="1"/>
    </row>
    <row r="86" spans="1:23" x14ac:dyDescent="0.2">
      <c r="P86" s="1"/>
      <c r="Q86" s="1"/>
      <c r="R86" s="1"/>
      <c r="S86" s="1"/>
      <c r="T86" s="1"/>
      <c r="U86" s="1"/>
      <c r="V86" s="1"/>
      <c r="W86" s="1"/>
    </row>
    <row r="87" spans="1:23" x14ac:dyDescent="0.2">
      <c r="P87" s="1"/>
      <c r="Q87" s="1"/>
      <c r="R87" s="1"/>
      <c r="S87" s="1"/>
      <c r="T87" s="1"/>
      <c r="U87" s="1"/>
      <c r="V87" s="1"/>
      <c r="W87" s="1"/>
    </row>
    <row r="88" spans="1:23" x14ac:dyDescent="0.2">
      <c r="P88" s="1"/>
      <c r="Q88" s="1"/>
      <c r="R88" s="1"/>
      <c r="S88" s="1"/>
      <c r="T88" s="1"/>
      <c r="U88" s="1"/>
      <c r="V88" s="1"/>
      <c r="W88" s="1"/>
    </row>
    <row r="89" spans="1:23" x14ac:dyDescent="0.2">
      <c r="P89" s="1"/>
      <c r="Q89" s="1"/>
      <c r="R89" s="1"/>
      <c r="S89" s="1"/>
      <c r="T89" s="1"/>
      <c r="U89" s="1"/>
      <c r="V89" s="1"/>
      <c r="W89" s="1"/>
    </row>
    <row r="90" spans="1:23" x14ac:dyDescent="0.2">
      <c r="P90" s="1"/>
      <c r="Q90" s="1"/>
      <c r="R90" s="1"/>
      <c r="S90" s="1"/>
      <c r="T90" s="1"/>
      <c r="U90" s="1"/>
      <c r="V90" s="1"/>
      <c r="W90" s="1"/>
    </row>
    <row r="91" spans="1:23" x14ac:dyDescent="0.2">
      <c r="P91" s="1"/>
      <c r="Q91" s="1"/>
      <c r="R91" s="1"/>
      <c r="S91" s="1"/>
      <c r="T91" s="1"/>
      <c r="U91" s="1"/>
      <c r="V91" s="1"/>
      <c r="W91" s="1"/>
    </row>
    <row r="92" spans="1:23" x14ac:dyDescent="0.2">
      <c r="P92" s="1"/>
      <c r="Q92" s="1"/>
      <c r="R92" s="1"/>
      <c r="S92" s="1"/>
      <c r="T92" s="1"/>
      <c r="U92" s="1"/>
      <c r="V92" s="1"/>
      <c r="W92" s="1"/>
    </row>
    <row r="93" spans="1:23" x14ac:dyDescent="0.2">
      <c r="P93" s="1"/>
      <c r="Q93" s="1"/>
      <c r="R93" s="1"/>
      <c r="S93" s="1"/>
      <c r="T93" s="1"/>
      <c r="U93" s="1"/>
      <c r="V93" s="1"/>
      <c r="W93" s="1"/>
    </row>
    <row r="94" spans="1:23" x14ac:dyDescent="0.2">
      <c r="P94" s="1"/>
      <c r="Q94" s="1"/>
      <c r="R94" s="1"/>
      <c r="S94" s="1"/>
      <c r="T94" s="1"/>
      <c r="U94" s="1"/>
      <c r="V94" s="1"/>
      <c r="W94" s="1"/>
    </row>
    <row r="95" spans="1:23" x14ac:dyDescent="0.2">
      <c r="P95" s="1"/>
      <c r="Q95" s="1"/>
      <c r="R95" s="1"/>
      <c r="S95" s="1"/>
      <c r="T95" s="1"/>
      <c r="U95" s="1"/>
      <c r="V95" s="1"/>
      <c r="W95" s="1"/>
    </row>
    <row r="96" spans="1:23" x14ac:dyDescent="0.2">
      <c r="P96" s="1"/>
      <c r="Q96" s="1"/>
      <c r="R96" s="1"/>
      <c r="S96" s="1"/>
      <c r="T96" s="1"/>
      <c r="U96" s="1"/>
      <c r="V96" s="1"/>
      <c r="W96" s="1"/>
    </row>
    <row r="97" spans="16:23" x14ac:dyDescent="0.2">
      <c r="P97" s="1"/>
      <c r="Q97" s="1"/>
      <c r="R97" s="1"/>
      <c r="S97" s="1"/>
      <c r="T97" s="1"/>
      <c r="U97" s="1"/>
      <c r="V97" s="1"/>
      <c r="W97" s="1"/>
    </row>
    <row r="98" spans="16:23" x14ac:dyDescent="0.2">
      <c r="P98" s="1"/>
      <c r="Q98" s="1"/>
      <c r="R98" s="1"/>
      <c r="S98" s="1"/>
      <c r="T98" s="1"/>
      <c r="U98" s="1"/>
      <c r="V98" s="1"/>
      <c r="W98" s="1"/>
    </row>
    <row r="99" spans="16:23" x14ac:dyDescent="0.2">
      <c r="P99" s="1"/>
      <c r="Q99" s="1"/>
      <c r="R99" s="1"/>
      <c r="S99" s="1"/>
      <c r="T99" s="1"/>
      <c r="U99" s="1"/>
      <c r="V99" s="1"/>
      <c r="W99" s="1"/>
    </row>
    <row r="100" spans="16:23" x14ac:dyDescent="0.2">
      <c r="P100" s="1"/>
      <c r="Q100" s="1"/>
      <c r="R100" s="1"/>
      <c r="S100" s="1"/>
      <c r="T100" s="1"/>
      <c r="U100" s="1"/>
      <c r="V100" s="1"/>
      <c r="W100" s="1"/>
    </row>
    <row r="101" spans="16:23" x14ac:dyDescent="0.2">
      <c r="P101" s="1"/>
      <c r="Q101" s="1"/>
      <c r="R101" s="1"/>
      <c r="S101" s="1"/>
      <c r="T101" s="1"/>
      <c r="U101" s="1"/>
      <c r="V101" s="1"/>
      <c r="W101" s="1"/>
    </row>
    <row r="102" spans="16:23" x14ac:dyDescent="0.2">
      <c r="P102" s="1"/>
      <c r="Q102" s="1"/>
      <c r="R102" s="1"/>
      <c r="S102" s="1"/>
      <c r="T102" s="1"/>
      <c r="U102" s="1"/>
      <c r="V102" s="1"/>
      <c r="W102" s="1"/>
    </row>
    <row r="103" spans="16:23" x14ac:dyDescent="0.2">
      <c r="P103" s="1"/>
      <c r="Q103" s="1"/>
      <c r="R103" s="1"/>
      <c r="S103" s="1"/>
      <c r="T103" s="1"/>
      <c r="U103" s="1"/>
      <c r="V103" s="1"/>
      <c r="W103" s="1"/>
    </row>
    <row r="104" spans="16:23" x14ac:dyDescent="0.2">
      <c r="P104" s="1"/>
      <c r="Q104" s="1"/>
      <c r="R104" s="1"/>
      <c r="S104" s="1"/>
      <c r="T104" s="1"/>
      <c r="U104" s="1"/>
      <c r="V104" s="1"/>
      <c r="W104" s="1"/>
    </row>
    <row r="105" spans="16:23" x14ac:dyDescent="0.2">
      <c r="P105" s="1"/>
      <c r="Q105" s="1"/>
      <c r="R105" s="1"/>
      <c r="S105" s="1"/>
      <c r="T105" s="1"/>
      <c r="U105" s="1"/>
      <c r="V105" s="1"/>
      <c r="W105" s="1"/>
    </row>
    <row r="106" spans="16:23" x14ac:dyDescent="0.2">
      <c r="P106" s="1"/>
      <c r="Q106" s="1"/>
      <c r="R106" s="1"/>
      <c r="S106" s="1"/>
      <c r="T106" s="1"/>
      <c r="U106" s="1"/>
      <c r="V106" s="1"/>
      <c r="W106" s="1"/>
    </row>
    <row r="107" spans="16:23" x14ac:dyDescent="0.2">
      <c r="P107" s="1"/>
      <c r="Q107" s="1"/>
      <c r="R107" s="1"/>
      <c r="S107" s="1"/>
      <c r="T107" s="1"/>
      <c r="U107" s="1"/>
      <c r="V107" s="1"/>
      <c r="W107" s="1"/>
    </row>
    <row r="108" spans="16:23" x14ac:dyDescent="0.2">
      <c r="P108" s="1"/>
      <c r="Q108" s="1"/>
      <c r="R108" s="1"/>
      <c r="S108" s="1"/>
      <c r="T108" s="1"/>
      <c r="U108" s="1"/>
      <c r="V108" s="1"/>
      <c r="W108" s="1"/>
    </row>
    <row r="109" spans="16:23" x14ac:dyDescent="0.2">
      <c r="P109" s="1"/>
      <c r="Q109" s="1"/>
      <c r="R109" s="1"/>
      <c r="S109" s="1"/>
      <c r="T109" s="1"/>
      <c r="U109" s="1"/>
      <c r="V109" s="1"/>
      <c r="W109" s="1"/>
    </row>
    <row r="110" spans="16:23" x14ac:dyDescent="0.2">
      <c r="P110" s="1"/>
      <c r="Q110" s="1"/>
      <c r="R110" s="1"/>
      <c r="S110" s="1"/>
      <c r="T110" s="1"/>
      <c r="U110" s="1"/>
      <c r="V110" s="1"/>
      <c r="W110" s="1"/>
    </row>
    <row r="111" spans="16:23" x14ac:dyDescent="0.2">
      <c r="P111" s="1"/>
      <c r="Q111" s="1"/>
      <c r="R111" s="1"/>
      <c r="S111" s="1"/>
      <c r="T111" s="1"/>
      <c r="U111" s="1"/>
      <c r="V111" s="1"/>
      <c r="W111" s="1"/>
    </row>
    <row r="112" spans="16:23" x14ac:dyDescent="0.2">
      <c r="P112" s="1"/>
      <c r="Q112" s="1"/>
      <c r="R112" s="1"/>
      <c r="S112" s="1"/>
      <c r="T112" s="1"/>
      <c r="U112" s="1"/>
      <c r="V112" s="1"/>
      <c r="W112" s="1"/>
    </row>
    <row r="113" spans="16:23" x14ac:dyDescent="0.2">
      <c r="P113" s="1"/>
      <c r="Q113" s="1"/>
      <c r="R113" s="1"/>
      <c r="S113" s="1"/>
      <c r="T113" s="1"/>
      <c r="U113" s="1"/>
      <c r="V113" s="1"/>
      <c r="W113" s="1"/>
    </row>
    <row r="114" spans="16:23" x14ac:dyDescent="0.2">
      <c r="P114" s="1"/>
      <c r="Q114" s="1"/>
      <c r="R114" s="1"/>
      <c r="S114" s="1"/>
      <c r="T114" s="1"/>
      <c r="U114" s="1"/>
      <c r="V114" s="1"/>
      <c r="W114" s="1"/>
    </row>
    <row r="115" spans="16:23" x14ac:dyDescent="0.2">
      <c r="P115" s="1"/>
      <c r="Q115" s="1"/>
      <c r="R115" s="1"/>
      <c r="S115" s="1"/>
      <c r="T115" s="1"/>
      <c r="U115" s="1"/>
      <c r="V115" s="1"/>
      <c r="W115" s="1"/>
    </row>
    <row r="116" spans="16:23" x14ac:dyDescent="0.2">
      <c r="P116" s="1"/>
      <c r="Q116" s="1"/>
      <c r="R116" s="1"/>
      <c r="S116" s="1"/>
      <c r="T116" s="1"/>
      <c r="U116" s="1"/>
      <c r="V116" s="1"/>
      <c r="W116" s="1"/>
    </row>
    <row r="117" spans="16:23" x14ac:dyDescent="0.2">
      <c r="P117" s="1"/>
      <c r="Q117" s="1"/>
      <c r="R117" s="1"/>
      <c r="S117" s="1"/>
      <c r="T117" s="1"/>
      <c r="U117" s="1"/>
      <c r="V117" s="1"/>
      <c r="W117" s="1"/>
    </row>
    <row r="118" spans="16:23" x14ac:dyDescent="0.2">
      <c r="P118" s="1"/>
      <c r="Q118" s="1"/>
      <c r="R118" s="1"/>
      <c r="S118" s="1"/>
      <c r="T118" s="1"/>
      <c r="U118" s="1"/>
      <c r="V118" s="1"/>
      <c r="W118" s="1"/>
    </row>
    <row r="119" spans="16:23" x14ac:dyDescent="0.2">
      <c r="P119" s="1"/>
      <c r="Q119" s="1"/>
      <c r="R119" s="1"/>
      <c r="S119" s="1"/>
      <c r="T119" s="1"/>
      <c r="U119" s="1"/>
      <c r="V119" s="1"/>
      <c r="W119" s="1"/>
    </row>
    <row r="120" spans="16:23" x14ac:dyDescent="0.2">
      <c r="P120" s="1"/>
      <c r="Q120" s="1"/>
      <c r="R120" s="1"/>
      <c r="S120" s="1"/>
      <c r="T120" s="1"/>
      <c r="U120" s="1"/>
      <c r="V120" s="1"/>
      <c r="W120" s="1"/>
    </row>
    <row r="121" spans="16:23" x14ac:dyDescent="0.2">
      <c r="P121" s="1"/>
      <c r="Q121" s="1"/>
      <c r="R121" s="1"/>
      <c r="S121" s="1"/>
      <c r="T121" s="1"/>
      <c r="U121" s="1"/>
      <c r="V121" s="1"/>
      <c r="W121" s="1"/>
    </row>
    <row r="122" spans="16:23" x14ac:dyDescent="0.2">
      <c r="P122" s="1"/>
      <c r="Q122" s="1"/>
      <c r="R122" s="1"/>
      <c r="S122" s="1"/>
      <c r="T122" s="1"/>
      <c r="U122" s="1"/>
      <c r="V122" s="1"/>
      <c r="W122" s="1"/>
    </row>
    <row r="123" spans="16:23" x14ac:dyDescent="0.2">
      <c r="P123" s="1"/>
      <c r="Q123" s="1"/>
      <c r="R123" s="1"/>
      <c r="S123" s="1"/>
      <c r="T123" s="1"/>
      <c r="U123" s="1"/>
      <c r="V123" s="1"/>
      <c r="W123" s="1"/>
    </row>
    <row r="124" spans="16:23" x14ac:dyDescent="0.2">
      <c r="P124" s="1"/>
      <c r="Q124" s="1"/>
      <c r="R124" s="1"/>
      <c r="S124" s="1"/>
      <c r="T124" s="1"/>
      <c r="U124" s="1"/>
      <c r="V124" s="1"/>
      <c r="W124" s="1"/>
    </row>
    <row r="125" spans="16:23" x14ac:dyDescent="0.2">
      <c r="P125" s="1"/>
      <c r="Q125" s="1"/>
      <c r="R125" s="1"/>
      <c r="S125" s="1"/>
      <c r="T125" s="1"/>
      <c r="U125" s="1"/>
      <c r="V125" s="1"/>
    </row>
    <row r="126" spans="16:23" x14ac:dyDescent="0.2">
      <c r="P126" s="1"/>
      <c r="Q126" s="1"/>
      <c r="R126" s="1"/>
      <c r="S126" s="1"/>
      <c r="T126" s="1"/>
      <c r="U126" s="1"/>
      <c r="V126" s="1"/>
    </row>
    <row r="127" spans="16:23" x14ac:dyDescent="0.2">
      <c r="P127" s="1"/>
      <c r="Q127" s="1"/>
      <c r="R127" s="1"/>
      <c r="S127" s="1"/>
      <c r="T127" s="1"/>
      <c r="U127" s="1"/>
      <c r="V127" s="1"/>
    </row>
    <row r="128" spans="16:23" x14ac:dyDescent="0.2">
      <c r="P128" s="1"/>
      <c r="Q128" s="1"/>
      <c r="R128" s="1"/>
      <c r="S128" s="1"/>
      <c r="T128" s="1"/>
      <c r="U128" s="1"/>
      <c r="V128" s="1"/>
    </row>
    <row r="129" spans="16:22" x14ac:dyDescent="0.2">
      <c r="P129" s="1"/>
      <c r="Q129" s="1"/>
      <c r="R129" s="1"/>
      <c r="S129" s="1"/>
      <c r="T129" s="1"/>
      <c r="U129" s="1"/>
      <c r="V129" s="1"/>
    </row>
    <row r="130" spans="16:22" x14ac:dyDescent="0.2">
      <c r="P130" s="1"/>
      <c r="Q130" s="1"/>
      <c r="R130" s="1"/>
      <c r="S130" s="1"/>
      <c r="T130" s="1"/>
      <c r="U130" s="1"/>
      <c r="V130" s="1"/>
    </row>
    <row r="131" spans="16:22" x14ac:dyDescent="0.2">
      <c r="P131" s="1"/>
      <c r="Q131" s="1"/>
      <c r="R131" s="1"/>
      <c r="S131" s="1"/>
      <c r="T131" s="1"/>
      <c r="U131" s="1"/>
      <c r="V131" s="1"/>
    </row>
    <row r="132" spans="16:22" x14ac:dyDescent="0.2">
      <c r="P132" s="1"/>
      <c r="Q132" s="1"/>
      <c r="R132" s="1"/>
      <c r="S132" s="1"/>
      <c r="T132" s="1"/>
      <c r="U132" s="1"/>
      <c r="V132" s="1"/>
    </row>
    <row r="133" spans="16:22" x14ac:dyDescent="0.2">
      <c r="P133" s="1"/>
      <c r="Q133" s="1"/>
      <c r="R133" s="1"/>
      <c r="S133" s="1"/>
      <c r="T133" s="1"/>
      <c r="U133" s="1"/>
      <c r="V133" s="1"/>
    </row>
    <row r="134" spans="16:22" x14ac:dyDescent="0.2">
      <c r="P134" s="1"/>
      <c r="Q134" s="1"/>
      <c r="R134" s="1"/>
      <c r="S134" s="1"/>
      <c r="T134" s="1"/>
      <c r="U134" s="1"/>
      <c r="V134" s="1"/>
    </row>
    <row r="135" spans="16:22" x14ac:dyDescent="0.2">
      <c r="P135" s="1"/>
      <c r="Q135" s="1"/>
      <c r="R135" s="1"/>
      <c r="S135" s="1"/>
      <c r="T135" s="1"/>
      <c r="U135" s="1"/>
      <c r="V135" s="1"/>
    </row>
    <row r="136" spans="16:22" x14ac:dyDescent="0.2">
      <c r="P136" s="1"/>
      <c r="Q136" s="1"/>
      <c r="R136" s="1"/>
      <c r="S136" s="1"/>
      <c r="T136" s="1"/>
      <c r="U136" s="1"/>
      <c r="V136" s="1"/>
    </row>
    <row r="137" spans="16:22" x14ac:dyDescent="0.2">
      <c r="P137" s="1"/>
      <c r="Q137" s="1"/>
      <c r="R137" s="1"/>
      <c r="S137" s="1"/>
      <c r="T137" s="1"/>
      <c r="U137" s="1"/>
      <c r="V137" s="1"/>
    </row>
    <row r="138" spans="16:22" x14ac:dyDescent="0.2">
      <c r="P138" s="1"/>
      <c r="Q138" s="1"/>
      <c r="R138" s="1"/>
      <c r="S138" s="1"/>
      <c r="T138" s="1"/>
      <c r="U138" s="1"/>
      <c r="V138" s="1"/>
    </row>
    <row r="139" spans="16:22" x14ac:dyDescent="0.2">
      <c r="P139" s="1"/>
      <c r="Q139" s="1"/>
      <c r="R139" s="1"/>
      <c r="S139" s="1"/>
      <c r="T139" s="1"/>
      <c r="U139" s="1"/>
      <c r="V139" s="1"/>
    </row>
    <row r="140" spans="16:22" x14ac:dyDescent="0.2">
      <c r="P140" s="1"/>
      <c r="Q140" s="1"/>
      <c r="R140" s="1"/>
      <c r="S140" s="1"/>
      <c r="T140" s="1"/>
      <c r="U140" s="1"/>
      <c r="V140" s="1"/>
    </row>
    <row r="141" spans="16:22" x14ac:dyDescent="0.2">
      <c r="P141" s="1"/>
      <c r="Q141" s="1"/>
      <c r="R141" s="1"/>
      <c r="S141" s="1"/>
      <c r="T141" s="1"/>
      <c r="U141" s="1"/>
      <c r="V141" s="1"/>
    </row>
    <row r="142" spans="16:22" x14ac:dyDescent="0.2">
      <c r="P142" s="1"/>
      <c r="Q142" s="1"/>
      <c r="R142" s="1"/>
      <c r="S142" s="1"/>
      <c r="T142" s="1"/>
      <c r="U142" s="1"/>
      <c r="V142" s="1"/>
    </row>
    <row r="143" spans="16:22" x14ac:dyDescent="0.2">
      <c r="P143" s="1"/>
      <c r="Q143" s="1"/>
      <c r="R143" s="1"/>
      <c r="S143" s="1"/>
      <c r="T143" s="1"/>
      <c r="U143" s="1"/>
      <c r="V143" s="1"/>
    </row>
    <row r="144" spans="16:22" x14ac:dyDescent="0.2">
      <c r="P144" s="1"/>
      <c r="Q144" s="1"/>
      <c r="R144" s="1"/>
      <c r="S144" s="1"/>
      <c r="T144" s="1"/>
      <c r="U144" s="1"/>
      <c r="V144" s="1"/>
    </row>
    <row r="145" spans="16:22" x14ac:dyDescent="0.2">
      <c r="P145" s="1"/>
      <c r="Q145" s="1"/>
      <c r="R145" s="1"/>
      <c r="S145" s="1"/>
      <c r="T145" s="1"/>
      <c r="U145" s="1"/>
      <c r="V145" s="1"/>
    </row>
    <row r="146" spans="16:22" x14ac:dyDescent="0.2">
      <c r="P146" s="1"/>
      <c r="Q146" s="1"/>
      <c r="R146" s="1"/>
      <c r="S146" s="1"/>
      <c r="T146" s="1"/>
      <c r="U146" s="1"/>
      <c r="V146" s="1"/>
    </row>
    <row r="147" spans="16:22" x14ac:dyDescent="0.2">
      <c r="P147" s="1"/>
      <c r="Q147" s="1"/>
      <c r="R147" s="1"/>
      <c r="S147" s="1"/>
      <c r="T147" s="1"/>
      <c r="U147" s="1"/>
      <c r="V147" s="1"/>
    </row>
    <row r="148" spans="16:22" x14ac:dyDescent="0.2">
      <c r="P148" s="1"/>
      <c r="Q148" s="1"/>
      <c r="R148" s="1"/>
      <c r="S148" s="1"/>
      <c r="T148" s="1"/>
      <c r="U148" s="1"/>
      <c r="V148" s="1"/>
    </row>
  </sheetData>
  <sheetProtection formatCells="0" formatColumns="0" formatRows="0" insertColumns="0" insertRows="0" insertHyperlinks="0" deleteColumns="0" deleteRows="0" sort="0" autoFilter="0" pivotTables="0"/>
  <sortState xmlns:xlrd2="http://schemas.microsoft.com/office/spreadsheetml/2017/richdata2" ref="H18:M20">
    <sortCondition descending="1" ref="H18"/>
  </sortState>
  <mergeCells count="22">
    <mergeCell ref="D16:E16"/>
    <mergeCell ref="H26:M26"/>
    <mergeCell ref="D32:M32"/>
    <mergeCell ref="H22:M22"/>
    <mergeCell ref="H18:M20"/>
    <mergeCell ref="M38:N38"/>
    <mergeCell ref="D34:F34"/>
    <mergeCell ref="D36:F36"/>
    <mergeCell ref="K34:M34"/>
    <mergeCell ref="K36:M36"/>
    <mergeCell ref="C4:N4"/>
    <mergeCell ref="F11:G11"/>
    <mergeCell ref="F13:G13"/>
    <mergeCell ref="H11:I11"/>
    <mergeCell ref="H13:I13"/>
    <mergeCell ref="J11:K11"/>
    <mergeCell ref="J13:K13"/>
    <mergeCell ref="L11:M11"/>
    <mergeCell ref="D7:N7"/>
    <mergeCell ref="D9:M9"/>
    <mergeCell ref="D11:E11"/>
    <mergeCell ref="D13:E13"/>
  </mergeCells>
  <pageMargins left="0.511811024" right="0.511811024" top="0.78740157499999996" bottom="0.78740157499999996" header="0.31496062000000002" footer="0.31496062000000002"/>
  <pageSetup paperSize="9" scale="73" fitToHeight="0"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7">
    <tabColor theme="0" tint="-0.14999847407452621"/>
    <pageSetUpPr fitToPage="1"/>
  </sheetPr>
  <dimension ref="A1:AD93"/>
  <sheetViews>
    <sheetView showGridLines="0" tabSelected="1" view="pageBreakPreview" zoomScale="70" zoomScaleNormal="70" zoomScaleSheetLayoutView="70" workbookViewId="0">
      <selection activeCell="F13" sqref="F13"/>
    </sheetView>
  </sheetViews>
  <sheetFormatPr defaultRowHeight="15.75" x14ac:dyDescent="0.25"/>
  <cols>
    <col min="1" max="1" width="10.7109375" style="129" customWidth="1"/>
    <col min="2" max="2" width="78.140625" style="135" customWidth="1"/>
    <col min="3" max="3" width="10.7109375" style="129" customWidth="1"/>
    <col min="4" max="4" width="18.7109375" style="157" customWidth="1"/>
    <col min="5" max="5" width="18.7109375" style="169" customWidth="1"/>
    <col min="6" max="14" width="18.7109375" style="157" customWidth="1"/>
    <col min="15" max="16" width="23.5703125" style="130" customWidth="1"/>
    <col min="17" max="17" width="20.5703125" style="185" customWidth="1"/>
    <col min="18" max="18" width="18.7109375" style="185" customWidth="1"/>
    <col min="19" max="19" width="18.7109375" style="186" customWidth="1"/>
    <col min="20" max="23" width="18.7109375" style="110" customWidth="1"/>
    <col min="24" max="24" width="18.7109375" style="111" customWidth="1"/>
    <col min="25" max="25" width="15.28515625" style="112" bestFit="1" customWidth="1"/>
    <col min="26" max="26" width="19.7109375" style="112" customWidth="1"/>
    <col min="27" max="27" width="9.140625" style="112"/>
    <col min="28" max="28" width="9.5703125" style="112" bestFit="1" customWidth="1"/>
    <col min="29" max="256" width="9.140625" style="112"/>
    <col min="257" max="257" width="10" style="112" customWidth="1"/>
    <col min="258" max="258" width="64.28515625" style="112" customWidth="1"/>
    <col min="259" max="259" width="7" style="112" customWidth="1"/>
    <col min="260" max="260" width="17" style="112" customWidth="1"/>
    <col min="261" max="261" width="22.28515625" style="112" customWidth="1"/>
    <col min="262" max="262" width="19.5703125" style="112" customWidth="1"/>
    <col min="263" max="263" width="15" style="112" customWidth="1"/>
    <col min="264" max="264" width="12" style="112" customWidth="1"/>
    <col min="265" max="265" width="13" style="112" customWidth="1"/>
    <col min="266" max="266" width="14.140625" style="112" customWidth="1"/>
    <col min="267" max="267" width="16.140625" style="112" customWidth="1"/>
    <col min="268" max="268" width="17" style="112" customWidth="1"/>
    <col min="269" max="269" width="23.42578125" style="112" customWidth="1"/>
    <col min="270" max="270" width="17" style="112" customWidth="1"/>
    <col min="271" max="271" width="20.85546875" style="112" customWidth="1"/>
    <col min="272" max="272" width="16.28515625" style="112" customWidth="1"/>
    <col min="273" max="273" width="9.140625" style="112"/>
    <col min="274" max="274" width="18.85546875" style="112" customWidth="1"/>
    <col min="275" max="512" width="9.140625" style="112"/>
    <col min="513" max="513" width="10" style="112" customWidth="1"/>
    <col min="514" max="514" width="64.28515625" style="112" customWidth="1"/>
    <col min="515" max="515" width="7" style="112" customWidth="1"/>
    <col min="516" max="516" width="17" style="112" customWidth="1"/>
    <col min="517" max="517" width="22.28515625" style="112" customWidth="1"/>
    <col min="518" max="518" width="19.5703125" style="112" customWidth="1"/>
    <col min="519" max="519" width="15" style="112" customWidth="1"/>
    <col min="520" max="520" width="12" style="112" customWidth="1"/>
    <col min="521" max="521" width="13" style="112" customWidth="1"/>
    <col min="522" max="522" width="14.140625" style="112" customWidth="1"/>
    <col min="523" max="523" width="16.140625" style="112" customWidth="1"/>
    <col min="524" max="524" width="17" style="112" customWidth="1"/>
    <col min="525" max="525" width="23.42578125" style="112" customWidth="1"/>
    <col min="526" max="526" width="17" style="112" customWidth="1"/>
    <col min="527" max="527" width="20.85546875" style="112" customWidth="1"/>
    <col min="528" max="528" width="16.28515625" style="112" customWidth="1"/>
    <col min="529" max="529" width="9.140625" style="112"/>
    <col min="530" max="530" width="18.85546875" style="112" customWidth="1"/>
    <col min="531" max="768" width="9.140625" style="112"/>
    <col min="769" max="769" width="10" style="112" customWidth="1"/>
    <col min="770" max="770" width="64.28515625" style="112" customWidth="1"/>
    <col min="771" max="771" width="7" style="112" customWidth="1"/>
    <col min="772" max="772" width="17" style="112" customWidth="1"/>
    <col min="773" max="773" width="22.28515625" style="112" customWidth="1"/>
    <col min="774" max="774" width="19.5703125" style="112" customWidth="1"/>
    <col min="775" max="775" width="15" style="112" customWidth="1"/>
    <col min="776" max="776" width="12" style="112" customWidth="1"/>
    <col min="777" max="777" width="13" style="112" customWidth="1"/>
    <col min="778" max="778" width="14.140625" style="112" customWidth="1"/>
    <col min="779" max="779" width="16.140625" style="112" customWidth="1"/>
    <col min="780" max="780" width="17" style="112" customWidth="1"/>
    <col min="781" max="781" width="23.42578125" style="112" customWidth="1"/>
    <col min="782" max="782" width="17" style="112" customWidth="1"/>
    <col min="783" max="783" width="20.85546875" style="112" customWidth="1"/>
    <col min="784" max="784" width="16.28515625" style="112" customWidth="1"/>
    <col min="785" max="785" width="9.140625" style="112"/>
    <col min="786" max="786" width="18.85546875" style="112" customWidth="1"/>
    <col min="787" max="1024" width="9.140625" style="112"/>
    <col min="1025" max="1025" width="10" style="112" customWidth="1"/>
    <col min="1026" max="1026" width="64.28515625" style="112" customWidth="1"/>
    <col min="1027" max="1027" width="7" style="112" customWidth="1"/>
    <col min="1028" max="1028" width="17" style="112" customWidth="1"/>
    <col min="1029" max="1029" width="22.28515625" style="112" customWidth="1"/>
    <col min="1030" max="1030" width="19.5703125" style="112" customWidth="1"/>
    <col min="1031" max="1031" width="15" style="112" customWidth="1"/>
    <col min="1032" max="1032" width="12" style="112" customWidth="1"/>
    <col min="1033" max="1033" width="13" style="112" customWidth="1"/>
    <col min="1034" max="1034" width="14.140625" style="112" customWidth="1"/>
    <col min="1035" max="1035" width="16.140625" style="112" customWidth="1"/>
    <col min="1036" max="1036" width="17" style="112" customWidth="1"/>
    <col min="1037" max="1037" width="23.42578125" style="112" customWidth="1"/>
    <col min="1038" max="1038" width="17" style="112" customWidth="1"/>
    <col min="1039" max="1039" width="20.85546875" style="112" customWidth="1"/>
    <col min="1040" max="1040" width="16.28515625" style="112" customWidth="1"/>
    <col min="1041" max="1041" width="9.140625" style="112"/>
    <col min="1042" max="1042" width="18.85546875" style="112" customWidth="1"/>
    <col min="1043" max="1280" width="9.140625" style="112"/>
    <col min="1281" max="1281" width="10" style="112" customWidth="1"/>
    <col min="1282" max="1282" width="64.28515625" style="112" customWidth="1"/>
    <col min="1283" max="1283" width="7" style="112" customWidth="1"/>
    <col min="1284" max="1284" width="17" style="112" customWidth="1"/>
    <col min="1285" max="1285" width="22.28515625" style="112" customWidth="1"/>
    <col min="1286" max="1286" width="19.5703125" style="112" customWidth="1"/>
    <col min="1287" max="1287" width="15" style="112" customWidth="1"/>
    <col min="1288" max="1288" width="12" style="112" customWidth="1"/>
    <col min="1289" max="1289" width="13" style="112" customWidth="1"/>
    <col min="1290" max="1290" width="14.140625" style="112" customWidth="1"/>
    <col min="1291" max="1291" width="16.140625" style="112" customWidth="1"/>
    <col min="1292" max="1292" width="17" style="112" customWidth="1"/>
    <col min="1293" max="1293" width="23.42578125" style="112" customWidth="1"/>
    <col min="1294" max="1294" width="17" style="112" customWidth="1"/>
    <col min="1295" max="1295" width="20.85546875" style="112" customWidth="1"/>
    <col min="1296" max="1296" width="16.28515625" style="112" customWidth="1"/>
    <col min="1297" max="1297" width="9.140625" style="112"/>
    <col min="1298" max="1298" width="18.85546875" style="112" customWidth="1"/>
    <col min="1299" max="1536" width="9.140625" style="112"/>
    <col min="1537" max="1537" width="10" style="112" customWidth="1"/>
    <col min="1538" max="1538" width="64.28515625" style="112" customWidth="1"/>
    <col min="1539" max="1539" width="7" style="112" customWidth="1"/>
    <col min="1540" max="1540" width="17" style="112" customWidth="1"/>
    <col min="1541" max="1541" width="22.28515625" style="112" customWidth="1"/>
    <col min="1542" max="1542" width="19.5703125" style="112" customWidth="1"/>
    <col min="1543" max="1543" width="15" style="112" customWidth="1"/>
    <col min="1544" max="1544" width="12" style="112" customWidth="1"/>
    <col min="1545" max="1545" width="13" style="112" customWidth="1"/>
    <col min="1546" max="1546" width="14.140625" style="112" customWidth="1"/>
    <col min="1547" max="1547" width="16.140625" style="112" customWidth="1"/>
    <col min="1548" max="1548" width="17" style="112" customWidth="1"/>
    <col min="1549" max="1549" width="23.42578125" style="112" customWidth="1"/>
    <col min="1550" max="1550" width="17" style="112" customWidth="1"/>
    <col min="1551" max="1551" width="20.85546875" style="112" customWidth="1"/>
    <col min="1552" max="1552" width="16.28515625" style="112" customWidth="1"/>
    <col min="1553" max="1553" width="9.140625" style="112"/>
    <col min="1554" max="1554" width="18.85546875" style="112" customWidth="1"/>
    <col min="1555" max="1792" width="9.140625" style="112"/>
    <col min="1793" max="1793" width="10" style="112" customWidth="1"/>
    <col min="1794" max="1794" width="64.28515625" style="112" customWidth="1"/>
    <col min="1795" max="1795" width="7" style="112" customWidth="1"/>
    <col min="1796" max="1796" width="17" style="112" customWidth="1"/>
    <col min="1797" max="1797" width="22.28515625" style="112" customWidth="1"/>
    <col min="1798" max="1798" width="19.5703125" style="112" customWidth="1"/>
    <col min="1799" max="1799" width="15" style="112" customWidth="1"/>
    <col min="1800" max="1800" width="12" style="112" customWidth="1"/>
    <col min="1801" max="1801" width="13" style="112" customWidth="1"/>
    <col min="1802" max="1802" width="14.140625" style="112" customWidth="1"/>
    <col min="1803" max="1803" width="16.140625" style="112" customWidth="1"/>
    <col min="1804" max="1804" width="17" style="112" customWidth="1"/>
    <col min="1805" max="1805" width="23.42578125" style="112" customWidth="1"/>
    <col min="1806" max="1806" width="17" style="112" customWidth="1"/>
    <col min="1807" max="1807" width="20.85546875" style="112" customWidth="1"/>
    <col min="1808" max="1808" width="16.28515625" style="112" customWidth="1"/>
    <col min="1809" max="1809" width="9.140625" style="112"/>
    <col min="1810" max="1810" width="18.85546875" style="112" customWidth="1"/>
    <col min="1811" max="2048" width="9.140625" style="112"/>
    <col min="2049" max="2049" width="10" style="112" customWidth="1"/>
    <col min="2050" max="2050" width="64.28515625" style="112" customWidth="1"/>
    <col min="2051" max="2051" width="7" style="112" customWidth="1"/>
    <col min="2052" max="2052" width="17" style="112" customWidth="1"/>
    <col min="2053" max="2053" width="22.28515625" style="112" customWidth="1"/>
    <col min="2054" max="2054" width="19.5703125" style="112" customWidth="1"/>
    <col min="2055" max="2055" width="15" style="112" customWidth="1"/>
    <col min="2056" max="2056" width="12" style="112" customWidth="1"/>
    <col min="2057" max="2057" width="13" style="112" customWidth="1"/>
    <col min="2058" max="2058" width="14.140625" style="112" customWidth="1"/>
    <col min="2059" max="2059" width="16.140625" style="112" customWidth="1"/>
    <col min="2060" max="2060" width="17" style="112" customWidth="1"/>
    <col min="2061" max="2061" width="23.42578125" style="112" customWidth="1"/>
    <col min="2062" max="2062" width="17" style="112" customWidth="1"/>
    <col min="2063" max="2063" width="20.85546875" style="112" customWidth="1"/>
    <col min="2064" max="2064" width="16.28515625" style="112" customWidth="1"/>
    <col min="2065" max="2065" width="9.140625" style="112"/>
    <col min="2066" max="2066" width="18.85546875" style="112" customWidth="1"/>
    <col min="2067" max="2304" width="9.140625" style="112"/>
    <col min="2305" max="2305" width="10" style="112" customWidth="1"/>
    <col min="2306" max="2306" width="64.28515625" style="112" customWidth="1"/>
    <col min="2307" max="2307" width="7" style="112" customWidth="1"/>
    <col min="2308" max="2308" width="17" style="112" customWidth="1"/>
    <col min="2309" max="2309" width="22.28515625" style="112" customWidth="1"/>
    <col min="2310" max="2310" width="19.5703125" style="112" customWidth="1"/>
    <col min="2311" max="2311" width="15" style="112" customWidth="1"/>
    <col min="2312" max="2312" width="12" style="112" customWidth="1"/>
    <col min="2313" max="2313" width="13" style="112" customWidth="1"/>
    <col min="2314" max="2314" width="14.140625" style="112" customWidth="1"/>
    <col min="2315" max="2315" width="16.140625" style="112" customWidth="1"/>
    <col min="2316" max="2316" width="17" style="112" customWidth="1"/>
    <col min="2317" max="2317" width="23.42578125" style="112" customWidth="1"/>
    <col min="2318" max="2318" width="17" style="112" customWidth="1"/>
    <col min="2319" max="2319" width="20.85546875" style="112" customWidth="1"/>
    <col min="2320" max="2320" width="16.28515625" style="112" customWidth="1"/>
    <col min="2321" max="2321" width="9.140625" style="112"/>
    <col min="2322" max="2322" width="18.85546875" style="112" customWidth="1"/>
    <col min="2323" max="2560" width="9.140625" style="112"/>
    <col min="2561" max="2561" width="10" style="112" customWidth="1"/>
    <col min="2562" max="2562" width="64.28515625" style="112" customWidth="1"/>
    <col min="2563" max="2563" width="7" style="112" customWidth="1"/>
    <col min="2564" max="2564" width="17" style="112" customWidth="1"/>
    <col min="2565" max="2565" width="22.28515625" style="112" customWidth="1"/>
    <col min="2566" max="2566" width="19.5703125" style="112" customWidth="1"/>
    <col min="2567" max="2567" width="15" style="112" customWidth="1"/>
    <col min="2568" max="2568" width="12" style="112" customWidth="1"/>
    <col min="2569" max="2569" width="13" style="112" customWidth="1"/>
    <col min="2570" max="2570" width="14.140625" style="112" customWidth="1"/>
    <col min="2571" max="2571" width="16.140625" style="112" customWidth="1"/>
    <col min="2572" max="2572" width="17" style="112" customWidth="1"/>
    <col min="2573" max="2573" width="23.42578125" style="112" customWidth="1"/>
    <col min="2574" max="2574" width="17" style="112" customWidth="1"/>
    <col min="2575" max="2575" width="20.85546875" style="112" customWidth="1"/>
    <col min="2576" max="2576" width="16.28515625" style="112" customWidth="1"/>
    <col min="2577" max="2577" width="9.140625" style="112"/>
    <col min="2578" max="2578" width="18.85546875" style="112" customWidth="1"/>
    <col min="2579" max="2816" width="9.140625" style="112"/>
    <col min="2817" max="2817" width="10" style="112" customWidth="1"/>
    <col min="2818" max="2818" width="64.28515625" style="112" customWidth="1"/>
    <col min="2819" max="2819" width="7" style="112" customWidth="1"/>
    <col min="2820" max="2820" width="17" style="112" customWidth="1"/>
    <col min="2821" max="2821" width="22.28515625" style="112" customWidth="1"/>
    <col min="2822" max="2822" width="19.5703125" style="112" customWidth="1"/>
    <col min="2823" max="2823" width="15" style="112" customWidth="1"/>
    <col min="2824" max="2824" width="12" style="112" customWidth="1"/>
    <col min="2825" max="2825" width="13" style="112" customWidth="1"/>
    <col min="2826" max="2826" width="14.140625" style="112" customWidth="1"/>
    <col min="2827" max="2827" width="16.140625" style="112" customWidth="1"/>
    <col min="2828" max="2828" width="17" style="112" customWidth="1"/>
    <col min="2829" max="2829" width="23.42578125" style="112" customWidth="1"/>
    <col min="2830" max="2830" width="17" style="112" customWidth="1"/>
    <col min="2831" max="2831" width="20.85546875" style="112" customWidth="1"/>
    <col min="2832" max="2832" width="16.28515625" style="112" customWidth="1"/>
    <col min="2833" max="2833" width="9.140625" style="112"/>
    <col min="2834" max="2834" width="18.85546875" style="112" customWidth="1"/>
    <col min="2835" max="3072" width="9.140625" style="112"/>
    <col min="3073" max="3073" width="10" style="112" customWidth="1"/>
    <col min="3074" max="3074" width="64.28515625" style="112" customWidth="1"/>
    <col min="3075" max="3075" width="7" style="112" customWidth="1"/>
    <col min="3076" max="3076" width="17" style="112" customWidth="1"/>
    <col min="3077" max="3077" width="22.28515625" style="112" customWidth="1"/>
    <col min="3078" max="3078" width="19.5703125" style="112" customWidth="1"/>
    <col min="3079" max="3079" width="15" style="112" customWidth="1"/>
    <col min="3080" max="3080" width="12" style="112" customWidth="1"/>
    <col min="3081" max="3081" width="13" style="112" customWidth="1"/>
    <col min="3082" max="3082" width="14.140625" style="112" customWidth="1"/>
    <col min="3083" max="3083" width="16.140625" style="112" customWidth="1"/>
    <col min="3084" max="3084" width="17" style="112" customWidth="1"/>
    <col min="3085" max="3085" width="23.42578125" style="112" customWidth="1"/>
    <col min="3086" max="3086" width="17" style="112" customWidth="1"/>
    <col min="3087" max="3087" width="20.85546875" style="112" customWidth="1"/>
    <col min="3088" max="3088" width="16.28515625" style="112" customWidth="1"/>
    <col min="3089" max="3089" width="9.140625" style="112"/>
    <col min="3090" max="3090" width="18.85546875" style="112" customWidth="1"/>
    <col min="3091" max="3328" width="9.140625" style="112"/>
    <col min="3329" max="3329" width="10" style="112" customWidth="1"/>
    <col min="3330" max="3330" width="64.28515625" style="112" customWidth="1"/>
    <col min="3331" max="3331" width="7" style="112" customWidth="1"/>
    <col min="3332" max="3332" width="17" style="112" customWidth="1"/>
    <col min="3333" max="3333" width="22.28515625" style="112" customWidth="1"/>
    <col min="3334" max="3334" width="19.5703125" style="112" customWidth="1"/>
    <col min="3335" max="3335" width="15" style="112" customWidth="1"/>
    <col min="3336" max="3336" width="12" style="112" customWidth="1"/>
    <col min="3337" max="3337" width="13" style="112" customWidth="1"/>
    <col min="3338" max="3338" width="14.140625" style="112" customWidth="1"/>
    <col min="3339" max="3339" width="16.140625" style="112" customWidth="1"/>
    <col min="3340" max="3340" width="17" style="112" customWidth="1"/>
    <col min="3341" max="3341" width="23.42578125" style="112" customWidth="1"/>
    <col min="3342" max="3342" width="17" style="112" customWidth="1"/>
    <col min="3343" max="3343" width="20.85546875" style="112" customWidth="1"/>
    <col min="3344" max="3344" width="16.28515625" style="112" customWidth="1"/>
    <col min="3345" max="3345" width="9.140625" style="112"/>
    <col min="3346" max="3346" width="18.85546875" style="112" customWidth="1"/>
    <col min="3347" max="3584" width="9.140625" style="112"/>
    <col min="3585" max="3585" width="10" style="112" customWidth="1"/>
    <col min="3586" max="3586" width="64.28515625" style="112" customWidth="1"/>
    <col min="3587" max="3587" width="7" style="112" customWidth="1"/>
    <col min="3588" max="3588" width="17" style="112" customWidth="1"/>
    <col min="3589" max="3589" width="22.28515625" style="112" customWidth="1"/>
    <col min="3590" max="3590" width="19.5703125" style="112" customWidth="1"/>
    <col min="3591" max="3591" width="15" style="112" customWidth="1"/>
    <col min="3592" max="3592" width="12" style="112" customWidth="1"/>
    <col min="3593" max="3593" width="13" style="112" customWidth="1"/>
    <col min="3594" max="3594" width="14.140625" style="112" customWidth="1"/>
    <col min="3595" max="3595" width="16.140625" style="112" customWidth="1"/>
    <col min="3596" max="3596" width="17" style="112" customWidth="1"/>
    <col min="3597" max="3597" width="23.42578125" style="112" customWidth="1"/>
    <col min="3598" max="3598" width="17" style="112" customWidth="1"/>
    <col min="3599" max="3599" width="20.85546875" style="112" customWidth="1"/>
    <col min="3600" max="3600" width="16.28515625" style="112" customWidth="1"/>
    <col min="3601" max="3601" width="9.140625" style="112"/>
    <col min="3602" max="3602" width="18.85546875" style="112" customWidth="1"/>
    <col min="3603" max="3840" width="9.140625" style="112"/>
    <col min="3841" max="3841" width="10" style="112" customWidth="1"/>
    <col min="3842" max="3842" width="64.28515625" style="112" customWidth="1"/>
    <col min="3843" max="3843" width="7" style="112" customWidth="1"/>
    <col min="3844" max="3844" width="17" style="112" customWidth="1"/>
    <col min="3845" max="3845" width="22.28515625" style="112" customWidth="1"/>
    <col min="3846" max="3846" width="19.5703125" style="112" customWidth="1"/>
    <col min="3847" max="3847" width="15" style="112" customWidth="1"/>
    <col min="3848" max="3848" width="12" style="112" customWidth="1"/>
    <col min="3849" max="3849" width="13" style="112" customWidth="1"/>
    <col min="3850" max="3850" width="14.140625" style="112" customWidth="1"/>
    <col min="3851" max="3851" width="16.140625" style="112" customWidth="1"/>
    <col min="3852" max="3852" width="17" style="112" customWidth="1"/>
    <col min="3853" max="3853" width="23.42578125" style="112" customWidth="1"/>
    <col min="3854" max="3854" width="17" style="112" customWidth="1"/>
    <col min="3855" max="3855" width="20.85546875" style="112" customWidth="1"/>
    <col min="3856" max="3856" width="16.28515625" style="112" customWidth="1"/>
    <col min="3857" max="3857" width="9.140625" style="112"/>
    <col min="3858" max="3858" width="18.85546875" style="112" customWidth="1"/>
    <col min="3859" max="4096" width="9.140625" style="112"/>
    <col min="4097" max="4097" width="10" style="112" customWidth="1"/>
    <col min="4098" max="4098" width="64.28515625" style="112" customWidth="1"/>
    <col min="4099" max="4099" width="7" style="112" customWidth="1"/>
    <col min="4100" max="4100" width="17" style="112" customWidth="1"/>
    <col min="4101" max="4101" width="22.28515625" style="112" customWidth="1"/>
    <col min="4102" max="4102" width="19.5703125" style="112" customWidth="1"/>
    <col min="4103" max="4103" width="15" style="112" customWidth="1"/>
    <col min="4104" max="4104" width="12" style="112" customWidth="1"/>
    <col min="4105" max="4105" width="13" style="112" customWidth="1"/>
    <col min="4106" max="4106" width="14.140625" style="112" customWidth="1"/>
    <col min="4107" max="4107" width="16.140625" style="112" customWidth="1"/>
    <col min="4108" max="4108" width="17" style="112" customWidth="1"/>
    <col min="4109" max="4109" width="23.42578125" style="112" customWidth="1"/>
    <col min="4110" max="4110" width="17" style="112" customWidth="1"/>
    <col min="4111" max="4111" width="20.85546875" style="112" customWidth="1"/>
    <col min="4112" max="4112" width="16.28515625" style="112" customWidth="1"/>
    <col min="4113" max="4113" width="9.140625" style="112"/>
    <col min="4114" max="4114" width="18.85546875" style="112" customWidth="1"/>
    <col min="4115" max="4352" width="9.140625" style="112"/>
    <col min="4353" max="4353" width="10" style="112" customWidth="1"/>
    <col min="4354" max="4354" width="64.28515625" style="112" customWidth="1"/>
    <col min="4355" max="4355" width="7" style="112" customWidth="1"/>
    <col min="4356" max="4356" width="17" style="112" customWidth="1"/>
    <col min="4357" max="4357" width="22.28515625" style="112" customWidth="1"/>
    <col min="4358" max="4358" width="19.5703125" style="112" customWidth="1"/>
    <col min="4359" max="4359" width="15" style="112" customWidth="1"/>
    <col min="4360" max="4360" width="12" style="112" customWidth="1"/>
    <col min="4361" max="4361" width="13" style="112" customWidth="1"/>
    <col min="4362" max="4362" width="14.140625" style="112" customWidth="1"/>
    <col min="4363" max="4363" width="16.140625" style="112" customWidth="1"/>
    <col min="4364" max="4364" width="17" style="112" customWidth="1"/>
    <col min="4365" max="4365" width="23.42578125" style="112" customWidth="1"/>
    <col min="4366" max="4366" width="17" style="112" customWidth="1"/>
    <col min="4367" max="4367" width="20.85546875" style="112" customWidth="1"/>
    <col min="4368" max="4368" width="16.28515625" style="112" customWidth="1"/>
    <col min="4369" max="4369" width="9.140625" style="112"/>
    <col min="4370" max="4370" width="18.85546875" style="112" customWidth="1"/>
    <col min="4371" max="4608" width="9.140625" style="112"/>
    <col min="4609" max="4609" width="10" style="112" customWidth="1"/>
    <col min="4610" max="4610" width="64.28515625" style="112" customWidth="1"/>
    <col min="4611" max="4611" width="7" style="112" customWidth="1"/>
    <col min="4612" max="4612" width="17" style="112" customWidth="1"/>
    <col min="4613" max="4613" width="22.28515625" style="112" customWidth="1"/>
    <col min="4614" max="4614" width="19.5703125" style="112" customWidth="1"/>
    <col min="4615" max="4615" width="15" style="112" customWidth="1"/>
    <col min="4616" max="4616" width="12" style="112" customWidth="1"/>
    <col min="4617" max="4617" width="13" style="112" customWidth="1"/>
    <col min="4618" max="4618" width="14.140625" style="112" customWidth="1"/>
    <col min="4619" max="4619" width="16.140625" style="112" customWidth="1"/>
    <col min="4620" max="4620" width="17" style="112" customWidth="1"/>
    <col min="4621" max="4621" width="23.42578125" style="112" customWidth="1"/>
    <col min="4622" max="4622" width="17" style="112" customWidth="1"/>
    <col min="4623" max="4623" width="20.85546875" style="112" customWidth="1"/>
    <col min="4624" max="4624" width="16.28515625" style="112" customWidth="1"/>
    <col min="4625" max="4625" width="9.140625" style="112"/>
    <col min="4626" max="4626" width="18.85546875" style="112" customWidth="1"/>
    <col min="4627" max="4864" width="9.140625" style="112"/>
    <col min="4865" max="4865" width="10" style="112" customWidth="1"/>
    <col min="4866" max="4866" width="64.28515625" style="112" customWidth="1"/>
    <col min="4867" max="4867" width="7" style="112" customWidth="1"/>
    <col min="4868" max="4868" width="17" style="112" customWidth="1"/>
    <col min="4869" max="4869" width="22.28515625" style="112" customWidth="1"/>
    <col min="4870" max="4870" width="19.5703125" style="112" customWidth="1"/>
    <col min="4871" max="4871" width="15" style="112" customWidth="1"/>
    <col min="4872" max="4872" width="12" style="112" customWidth="1"/>
    <col min="4873" max="4873" width="13" style="112" customWidth="1"/>
    <col min="4874" max="4874" width="14.140625" style="112" customWidth="1"/>
    <col min="4875" max="4875" width="16.140625" style="112" customWidth="1"/>
    <col min="4876" max="4876" width="17" style="112" customWidth="1"/>
    <col min="4877" max="4877" width="23.42578125" style="112" customWidth="1"/>
    <col min="4878" max="4878" width="17" style="112" customWidth="1"/>
    <col min="4879" max="4879" width="20.85546875" style="112" customWidth="1"/>
    <col min="4880" max="4880" width="16.28515625" style="112" customWidth="1"/>
    <col min="4881" max="4881" width="9.140625" style="112"/>
    <col min="4882" max="4882" width="18.85546875" style="112" customWidth="1"/>
    <col min="4883" max="5120" width="9.140625" style="112"/>
    <col min="5121" max="5121" width="10" style="112" customWidth="1"/>
    <col min="5122" max="5122" width="64.28515625" style="112" customWidth="1"/>
    <col min="5123" max="5123" width="7" style="112" customWidth="1"/>
    <col min="5124" max="5124" width="17" style="112" customWidth="1"/>
    <col min="5125" max="5125" width="22.28515625" style="112" customWidth="1"/>
    <col min="5126" max="5126" width="19.5703125" style="112" customWidth="1"/>
    <col min="5127" max="5127" width="15" style="112" customWidth="1"/>
    <col min="5128" max="5128" width="12" style="112" customWidth="1"/>
    <col min="5129" max="5129" width="13" style="112" customWidth="1"/>
    <col min="5130" max="5130" width="14.140625" style="112" customWidth="1"/>
    <col min="5131" max="5131" width="16.140625" style="112" customWidth="1"/>
    <col min="5132" max="5132" width="17" style="112" customWidth="1"/>
    <col min="5133" max="5133" width="23.42578125" style="112" customWidth="1"/>
    <col min="5134" max="5134" width="17" style="112" customWidth="1"/>
    <col min="5135" max="5135" width="20.85546875" style="112" customWidth="1"/>
    <col min="5136" max="5136" width="16.28515625" style="112" customWidth="1"/>
    <col min="5137" max="5137" width="9.140625" style="112"/>
    <col min="5138" max="5138" width="18.85546875" style="112" customWidth="1"/>
    <col min="5139" max="5376" width="9.140625" style="112"/>
    <col min="5377" max="5377" width="10" style="112" customWidth="1"/>
    <col min="5378" max="5378" width="64.28515625" style="112" customWidth="1"/>
    <col min="5379" max="5379" width="7" style="112" customWidth="1"/>
    <col min="5380" max="5380" width="17" style="112" customWidth="1"/>
    <col min="5381" max="5381" width="22.28515625" style="112" customWidth="1"/>
    <col min="5382" max="5382" width="19.5703125" style="112" customWidth="1"/>
    <col min="5383" max="5383" width="15" style="112" customWidth="1"/>
    <col min="5384" max="5384" width="12" style="112" customWidth="1"/>
    <col min="5385" max="5385" width="13" style="112" customWidth="1"/>
    <col min="5386" max="5386" width="14.140625" style="112" customWidth="1"/>
    <col min="5387" max="5387" width="16.140625" style="112" customWidth="1"/>
    <col min="5388" max="5388" width="17" style="112" customWidth="1"/>
    <col min="5389" max="5389" width="23.42578125" style="112" customWidth="1"/>
    <col min="5390" max="5390" width="17" style="112" customWidth="1"/>
    <col min="5391" max="5391" width="20.85546875" style="112" customWidth="1"/>
    <col min="5392" max="5392" width="16.28515625" style="112" customWidth="1"/>
    <col min="5393" max="5393" width="9.140625" style="112"/>
    <col min="5394" max="5394" width="18.85546875" style="112" customWidth="1"/>
    <col min="5395" max="5632" width="9.140625" style="112"/>
    <col min="5633" max="5633" width="10" style="112" customWidth="1"/>
    <col min="5634" max="5634" width="64.28515625" style="112" customWidth="1"/>
    <col min="5635" max="5635" width="7" style="112" customWidth="1"/>
    <col min="5636" max="5636" width="17" style="112" customWidth="1"/>
    <col min="5637" max="5637" width="22.28515625" style="112" customWidth="1"/>
    <col min="5638" max="5638" width="19.5703125" style="112" customWidth="1"/>
    <col min="5639" max="5639" width="15" style="112" customWidth="1"/>
    <col min="5640" max="5640" width="12" style="112" customWidth="1"/>
    <col min="5641" max="5641" width="13" style="112" customWidth="1"/>
    <col min="5642" max="5642" width="14.140625" style="112" customWidth="1"/>
    <col min="5643" max="5643" width="16.140625" style="112" customWidth="1"/>
    <col min="5644" max="5644" width="17" style="112" customWidth="1"/>
    <col min="5645" max="5645" width="23.42578125" style="112" customWidth="1"/>
    <col min="5646" max="5646" width="17" style="112" customWidth="1"/>
    <col min="5647" max="5647" width="20.85546875" style="112" customWidth="1"/>
    <col min="5648" max="5648" width="16.28515625" style="112" customWidth="1"/>
    <col min="5649" max="5649" width="9.140625" style="112"/>
    <col min="5650" max="5650" width="18.85546875" style="112" customWidth="1"/>
    <col min="5651" max="5888" width="9.140625" style="112"/>
    <col min="5889" max="5889" width="10" style="112" customWidth="1"/>
    <col min="5890" max="5890" width="64.28515625" style="112" customWidth="1"/>
    <col min="5891" max="5891" width="7" style="112" customWidth="1"/>
    <col min="5892" max="5892" width="17" style="112" customWidth="1"/>
    <col min="5893" max="5893" width="22.28515625" style="112" customWidth="1"/>
    <col min="5894" max="5894" width="19.5703125" style="112" customWidth="1"/>
    <col min="5895" max="5895" width="15" style="112" customWidth="1"/>
    <col min="5896" max="5896" width="12" style="112" customWidth="1"/>
    <col min="5897" max="5897" width="13" style="112" customWidth="1"/>
    <col min="5898" max="5898" width="14.140625" style="112" customWidth="1"/>
    <col min="5899" max="5899" width="16.140625" style="112" customWidth="1"/>
    <col min="5900" max="5900" width="17" style="112" customWidth="1"/>
    <col min="5901" max="5901" width="23.42578125" style="112" customWidth="1"/>
    <col min="5902" max="5902" width="17" style="112" customWidth="1"/>
    <col min="5903" max="5903" width="20.85546875" style="112" customWidth="1"/>
    <col min="5904" max="5904" width="16.28515625" style="112" customWidth="1"/>
    <col min="5905" max="5905" width="9.140625" style="112"/>
    <col min="5906" max="5906" width="18.85546875" style="112" customWidth="1"/>
    <col min="5907" max="6144" width="9.140625" style="112"/>
    <col min="6145" max="6145" width="10" style="112" customWidth="1"/>
    <col min="6146" max="6146" width="64.28515625" style="112" customWidth="1"/>
    <col min="6147" max="6147" width="7" style="112" customWidth="1"/>
    <col min="6148" max="6148" width="17" style="112" customWidth="1"/>
    <col min="6149" max="6149" width="22.28515625" style="112" customWidth="1"/>
    <col min="6150" max="6150" width="19.5703125" style="112" customWidth="1"/>
    <col min="6151" max="6151" width="15" style="112" customWidth="1"/>
    <col min="6152" max="6152" width="12" style="112" customWidth="1"/>
    <col min="6153" max="6153" width="13" style="112" customWidth="1"/>
    <col min="6154" max="6154" width="14.140625" style="112" customWidth="1"/>
    <col min="6155" max="6155" width="16.140625" style="112" customWidth="1"/>
    <col min="6156" max="6156" width="17" style="112" customWidth="1"/>
    <col min="6157" max="6157" width="23.42578125" style="112" customWidth="1"/>
    <col min="6158" max="6158" width="17" style="112" customWidth="1"/>
    <col min="6159" max="6159" width="20.85546875" style="112" customWidth="1"/>
    <col min="6160" max="6160" width="16.28515625" style="112" customWidth="1"/>
    <col min="6161" max="6161" width="9.140625" style="112"/>
    <col min="6162" max="6162" width="18.85546875" style="112" customWidth="1"/>
    <col min="6163" max="6400" width="9.140625" style="112"/>
    <col min="6401" max="6401" width="10" style="112" customWidth="1"/>
    <col min="6402" max="6402" width="64.28515625" style="112" customWidth="1"/>
    <col min="6403" max="6403" width="7" style="112" customWidth="1"/>
    <col min="6404" max="6404" width="17" style="112" customWidth="1"/>
    <col min="6405" max="6405" width="22.28515625" style="112" customWidth="1"/>
    <col min="6406" max="6406" width="19.5703125" style="112" customWidth="1"/>
    <col min="6407" max="6407" width="15" style="112" customWidth="1"/>
    <col min="6408" max="6408" width="12" style="112" customWidth="1"/>
    <col min="6409" max="6409" width="13" style="112" customWidth="1"/>
    <col min="6410" max="6410" width="14.140625" style="112" customWidth="1"/>
    <col min="6411" max="6411" width="16.140625" style="112" customWidth="1"/>
    <col min="6412" max="6412" width="17" style="112" customWidth="1"/>
    <col min="6413" max="6413" width="23.42578125" style="112" customWidth="1"/>
    <col min="6414" max="6414" width="17" style="112" customWidth="1"/>
    <col min="6415" max="6415" width="20.85546875" style="112" customWidth="1"/>
    <col min="6416" max="6416" width="16.28515625" style="112" customWidth="1"/>
    <col min="6417" max="6417" width="9.140625" style="112"/>
    <col min="6418" max="6418" width="18.85546875" style="112" customWidth="1"/>
    <col min="6419" max="6656" width="9.140625" style="112"/>
    <col min="6657" max="6657" width="10" style="112" customWidth="1"/>
    <col min="6658" max="6658" width="64.28515625" style="112" customWidth="1"/>
    <col min="6659" max="6659" width="7" style="112" customWidth="1"/>
    <col min="6660" max="6660" width="17" style="112" customWidth="1"/>
    <col min="6661" max="6661" width="22.28515625" style="112" customWidth="1"/>
    <col min="6662" max="6662" width="19.5703125" style="112" customWidth="1"/>
    <col min="6663" max="6663" width="15" style="112" customWidth="1"/>
    <col min="6664" max="6664" width="12" style="112" customWidth="1"/>
    <col min="6665" max="6665" width="13" style="112" customWidth="1"/>
    <col min="6666" max="6666" width="14.140625" style="112" customWidth="1"/>
    <col min="6667" max="6667" width="16.140625" style="112" customWidth="1"/>
    <col min="6668" max="6668" width="17" style="112" customWidth="1"/>
    <col min="6669" max="6669" width="23.42578125" style="112" customWidth="1"/>
    <col min="6670" max="6670" width="17" style="112" customWidth="1"/>
    <col min="6671" max="6671" width="20.85546875" style="112" customWidth="1"/>
    <col min="6672" max="6672" width="16.28515625" style="112" customWidth="1"/>
    <col min="6673" max="6673" width="9.140625" style="112"/>
    <col min="6674" max="6674" width="18.85546875" style="112" customWidth="1"/>
    <col min="6675" max="6912" width="9.140625" style="112"/>
    <col min="6913" max="6913" width="10" style="112" customWidth="1"/>
    <col min="6914" max="6914" width="64.28515625" style="112" customWidth="1"/>
    <col min="6915" max="6915" width="7" style="112" customWidth="1"/>
    <col min="6916" max="6916" width="17" style="112" customWidth="1"/>
    <col min="6917" max="6917" width="22.28515625" style="112" customWidth="1"/>
    <col min="6918" max="6918" width="19.5703125" style="112" customWidth="1"/>
    <col min="6919" max="6919" width="15" style="112" customWidth="1"/>
    <col min="6920" max="6920" width="12" style="112" customWidth="1"/>
    <col min="6921" max="6921" width="13" style="112" customWidth="1"/>
    <col min="6922" max="6922" width="14.140625" style="112" customWidth="1"/>
    <col min="6923" max="6923" width="16.140625" style="112" customWidth="1"/>
    <col min="6924" max="6924" width="17" style="112" customWidth="1"/>
    <col min="6925" max="6925" width="23.42578125" style="112" customWidth="1"/>
    <col min="6926" max="6926" width="17" style="112" customWidth="1"/>
    <col min="6927" max="6927" width="20.85546875" style="112" customWidth="1"/>
    <col min="6928" max="6928" width="16.28515625" style="112" customWidth="1"/>
    <col min="6929" max="6929" width="9.140625" style="112"/>
    <col min="6930" max="6930" width="18.85546875" style="112" customWidth="1"/>
    <col min="6931" max="7168" width="9.140625" style="112"/>
    <col min="7169" max="7169" width="10" style="112" customWidth="1"/>
    <col min="7170" max="7170" width="64.28515625" style="112" customWidth="1"/>
    <col min="7171" max="7171" width="7" style="112" customWidth="1"/>
    <col min="7172" max="7172" width="17" style="112" customWidth="1"/>
    <col min="7173" max="7173" width="22.28515625" style="112" customWidth="1"/>
    <col min="7174" max="7174" width="19.5703125" style="112" customWidth="1"/>
    <col min="7175" max="7175" width="15" style="112" customWidth="1"/>
    <col min="7176" max="7176" width="12" style="112" customWidth="1"/>
    <col min="7177" max="7177" width="13" style="112" customWidth="1"/>
    <col min="7178" max="7178" width="14.140625" style="112" customWidth="1"/>
    <col min="7179" max="7179" width="16.140625" style="112" customWidth="1"/>
    <col min="7180" max="7180" width="17" style="112" customWidth="1"/>
    <col min="7181" max="7181" width="23.42578125" style="112" customWidth="1"/>
    <col min="7182" max="7182" width="17" style="112" customWidth="1"/>
    <col min="7183" max="7183" width="20.85546875" style="112" customWidth="1"/>
    <col min="7184" max="7184" width="16.28515625" style="112" customWidth="1"/>
    <col min="7185" max="7185" width="9.140625" style="112"/>
    <col min="7186" max="7186" width="18.85546875" style="112" customWidth="1"/>
    <col min="7187" max="7424" width="9.140625" style="112"/>
    <col min="7425" max="7425" width="10" style="112" customWidth="1"/>
    <col min="7426" max="7426" width="64.28515625" style="112" customWidth="1"/>
    <col min="7427" max="7427" width="7" style="112" customWidth="1"/>
    <col min="7428" max="7428" width="17" style="112" customWidth="1"/>
    <col min="7429" max="7429" width="22.28515625" style="112" customWidth="1"/>
    <col min="7430" max="7430" width="19.5703125" style="112" customWidth="1"/>
    <col min="7431" max="7431" width="15" style="112" customWidth="1"/>
    <col min="7432" max="7432" width="12" style="112" customWidth="1"/>
    <col min="7433" max="7433" width="13" style="112" customWidth="1"/>
    <col min="7434" max="7434" width="14.140625" style="112" customWidth="1"/>
    <col min="7435" max="7435" width="16.140625" style="112" customWidth="1"/>
    <col min="7436" max="7436" width="17" style="112" customWidth="1"/>
    <col min="7437" max="7437" width="23.42578125" style="112" customWidth="1"/>
    <col min="7438" max="7438" width="17" style="112" customWidth="1"/>
    <col min="7439" max="7439" width="20.85546875" style="112" customWidth="1"/>
    <col min="7440" max="7440" width="16.28515625" style="112" customWidth="1"/>
    <col min="7441" max="7441" width="9.140625" style="112"/>
    <col min="7442" max="7442" width="18.85546875" style="112" customWidth="1"/>
    <col min="7443" max="7680" width="9.140625" style="112"/>
    <col min="7681" max="7681" width="10" style="112" customWidth="1"/>
    <col min="7682" max="7682" width="64.28515625" style="112" customWidth="1"/>
    <col min="7683" max="7683" width="7" style="112" customWidth="1"/>
    <col min="7684" max="7684" width="17" style="112" customWidth="1"/>
    <col min="7685" max="7685" width="22.28515625" style="112" customWidth="1"/>
    <col min="7686" max="7686" width="19.5703125" style="112" customWidth="1"/>
    <col min="7687" max="7687" width="15" style="112" customWidth="1"/>
    <col min="7688" max="7688" width="12" style="112" customWidth="1"/>
    <col min="7689" max="7689" width="13" style="112" customWidth="1"/>
    <col min="7690" max="7690" width="14.140625" style="112" customWidth="1"/>
    <col min="7691" max="7691" width="16.140625" style="112" customWidth="1"/>
    <col min="7692" max="7692" width="17" style="112" customWidth="1"/>
    <col min="7693" max="7693" width="23.42578125" style="112" customWidth="1"/>
    <col min="7694" max="7694" width="17" style="112" customWidth="1"/>
    <col min="7695" max="7695" width="20.85546875" style="112" customWidth="1"/>
    <col min="7696" max="7696" width="16.28515625" style="112" customWidth="1"/>
    <col min="7697" max="7697" width="9.140625" style="112"/>
    <col min="7698" max="7698" width="18.85546875" style="112" customWidth="1"/>
    <col min="7699" max="7936" width="9.140625" style="112"/>
    <col min="7937" max="7937" width="10" style="112" customWidth="1"/>
    <col min="7938" max="7938" width="64.28515625" style="112" customWidth="1"/>
    <col min="7939" max="7939" width="7" style="112" customWidth="1"/>
    <col min="7940" max="7940" width="17" style="112" customWidth="1"/>
    <col min="7941" max="7941" width="22.28515625" style="112" customWidth="1"/>
    <col min="7942" max="7942" width="19.5703125" style="112" customWidth="1"/>
    <col min="7943" max="7943" width="15" style="112" customWidth="1"/>
    <col min="7944" max="7944" width="12" style="112" customWidth="1"/>
    <col min="7945" max="7945" width="13" style="112" customWidth="1"/>
    <col min="7946" max="7946" width="14.140625" style="112" customWidth="1"/>
    <col min="7947" max="7947" width="16.140625" style="112" customWidth="1"/>
    <col min="7948" max="7948" width="17" style="112" customWidth="1"/>
    <col min="7949" max="7949" width="23.42578125" style="112" customWidth="1"/>
    <col min="7950" max="7950" width="17" style="112" customWidth="1"/>
    <col min="7951" max="7951" width="20.85546875" style="112" customWidth="1"/>
    <col min="7952" max="7952" width="16.28515625" style="112" customWidth="1"/>
    <col min="7953" max="7953" width="9.140625" style="112"/>
    <col min="7954" max="7954" width="18.85546875" style="112" customWidth="1"/>
    <col min="7955" max="8192" width="9.140625" style="112"/>
    <col min="8193" max="8193" width="10" style="112" customWidth="1"/>
    <col min="8194" max="8194" width="64.28515625" style="112" customWidth="1"/>
    <col min="8195" max="8195" width="7" style="112" customWidth="1"/>
    <col min="8196" max="8196" width="17" style="112" customWidth="1"/>
    <col min="8197" max="8197" width="22.28515625" style="112" customWidth="1"/>
    <col min="8198" max="8198" width="19.5703125" style="112" customWidth="1"/>
    <col min="8199" max="8199" width="15" style="112" customWidth="1"/>
    <col min="8200" max="8200" width="12" style="112" customWidth="1"/>
    <col min="8201" max="8201" width="13" style="112" customWidth="1"/>
    <col min="8202" max="8202" width="14.140625" style="112" customWidth="1"/>
    <col min="8203" max="8203" width="16.140625" style="112" customWidth="1"/>
    <col min="8204" max="8204" width="17" style="112" customWidth="1"/>
    <col min="8205" max="8205" width="23.42578125" style="112" customWidth="1"/>
    <col min="8206" max="8206" width="17" style="112" customWidth="1"/>
    <col min="8207" max="8207" width="20.85546875" style="112" customWidth="1"/>
    <col min="8208" max="8208" width="16.28515625" style="112" customWidth="1"/>
    <col min="8209" max="8209" width="9.140625" style="112"/>
    <col min="8210" max="8210" width="18.85546875" style="112" customWidth="1"/>
    <col min="8211" max="8448" width="9.140625" style="112"/>
    <col min="8449" max="8449" width="10" style="112" customWidth="1"/>
    <col min="8450" max="8450" width="64.28515625" style="112" customWidth="1"/>
    <col min="8451" max="8451" width="7" style="112" customWidth="1"/>
    <col min="8452" max="8452" width="17" style="112" customWidth="1"/>
    <col min="8453" max="8453" width="22.28515625" style="112" customWidth="1"/>
    <col min="8454" max="8454" width="19.5703125" style="112" customWidth="1"/>
    <col min="8455" max="8455" width="15" style="112" customWidth="1"/>
    <col min="8456" max="8456" width="12" style="112" customWidth="1"/>
    <col min="8457" max="8457" width="13" style="112" customWidth="1"/>
    <col min="8458" max="8458" width="14.140625" style="112" customWidth="1"/>
    <col min="8459" max="8459" width="16.140625" style="112" customWidth="1"/>
    <col min="8460" max="8460" width="17" style="112" customWidth="1"/>
    <col min="8461" max="8461" width="23.42578125" style="112" customWidth="1"/>
    <col min="8462" max="8462" width="17" style="112" customWidth="1"/>
    <col min="8463" max="8463" width="20.85546875" style="112" customWidth="1"/>
    <col min="8464" max="8464" width="16.28515625" style="112" customWidth="1"/>
    <col min="8465" max="8465" width="9.140625" style="112"/>
    <col min="8466" max="8466" width="18.85546875" style="112" customWidth="1"/>
    <col min="8467" max="8704" width="9.140625" style="112"/>
    <col min="8705" max="8705" width="10" style="112" customWidth="1"/>
    <col min="8706" max="8706" width="64.28515625" style="112" customWidth="1"/>
    <col min="8707" max="8707" width="7" style="112" customWidth="1"/>
    <col min="8708" max="8708" width="17" style="112" customWidth="1"/>
    <col min="8709" max="8709" width="22.28515625" style="112" customWidth="1"/>
    <col min="8710" max="8710" width="19.5703125" style="112" customWidth="1"/>
    <col min="8711" max="8711" width="15" style="112" customWidth="1"/>
    <col min="8712" max="8712" width="12" style="112" customWidth="1"/>
    <col min="8713" max="8713" width="13" style="112" customWidth="1"/>
    <col min="8714" max="8714" width="14.140625" style="112" customWidth="1"/>
    <col min="8715" max="8715" width="16.140625" style="112" customWidth="1"/>
    <col min="8716" max="8716" width="17" style="112" customWidth="1"/>
    <col min="8717" max="8717" width="23.42578125" style="112" customWidth="1"/>
    <col min="8718" max="8718" width="17" style="112" customWidth="1"/>
    <col min="8719" max="8719" width="20.85546875" style="112" customWidth="1"/>
    <col min="8720" max="8720" width="16.28515625" style="112" customWidth="1"/>
    <col min="8721" max="8721" width="9.140625" style="112"/>
    <col min="8722" max="8722" width="18.85546875" style="112" customWidth="1"/>
    <col min="8723" max="8960" width="9.140625" style="112"/>
    <col min="8961" max="8961" width="10" style="112" customWidth="1"/>
    <col min="8962" max="8962" width="64.28515625" style="112" customWidth="1"/>
    <col min="8963" max="8963" width="7" style="112" customWidth="1"/>
    <col min="8964" max="8964" width="17" style="112" customWidth="1"/>
    <col min="8965" max="8965" width="22.28515625" style="112" customWidth="1"/>
    <col min="8966" max="8966" width="19.5703125" style="112" customWidth="1"/>
    <col min="8967" max="8967" width="15" style="112" customWidth="1"/>
    <col min="8968" max="8968" width="12" style="112" customWidth="1"/>
    <col min="8969" max="8969" width="13" style="112" customWidth="1"/>
    <col min="8970" max="8970" width="14.140625" style="112" customWidth="1"/>
    <col min="8971" max="8971" width="16.140625" style="112" customWidth="1"/>
    <col min="8972" max="8972" width="17" style="112" customWidth="1"/>
    <col min="8973" max="8973" width="23.42578125" style="112" customWidth="1"/>
    <col min="8974" max="8974" width="17" style="112" customWidth="1"/>
    <col min="8975" max="8975" width="20.85546875" style="112" customWidth="1"/>
    <col min="8976" max="8976" width="16.28515625" style="112" customWidth="1"/>
    <col min="8977" max="8977" width="9.140625" style="112"/>
    <col min="8978" max="8978" width="18.85546875" style="112" customWidth="1"/>
    <col min="8979" max="9216" width="9.140625" style="112"/>
    <col min="9217" max="9217" width="10" style="112" customWidth="1"/>
    <col min="9218" max="9218" width="64.28515625" style="112" customWidth="1"/>
    <col min="9219" max="9219" width="7" style="112" customWidth="1"/>
    <col min="9220" max="9220" width="17" style="112" customWidth="1"/>
    <col min="9221" max="9221" width="22.28515625" style="112" customWidth="1"/>
    <col min="9222" max="9222" width="19.5703125" style="112" customWidth="1"/>
    <col min="9223" max="9223" width="15" style="112" customWidth="1"/>
    <col min="9224" max="9224" width="12" style="112" customWidth="1"/>
    <col min="9225" max="9225" width="13" style="112" customWidth="1"/>
    <col min="9226" max="9226" width="14.140625" style="112" customWidth="1"/>
    <col min="9227" max="9227" width="16.140625" style="112" customWidth="1"/>
    <col min="9228" max="9228" width="17" style="112" customWidth="1"/>
    <col min="9229" max="9229" width="23.42578125" style="112" customWidth="1"/>
    <col min="9230" max="9230" width="17" style="112" customWidth="1"/>
    <col min="9231" max="9231" width="20.85546875" style="112" customWidth="1"/>
    <col min="9232" max="9232" width="16.28515625" style="112" customWidth="1"/>
    <col min="9233" max="9233" width="9.140625" style="112"/>
    <col min="9234" max="9234" width="18.85546875" style="112" customWidth="1"/>
    <col min="9235" max="9472" width="9.140625" style="112"/>
    <col min="9473" max="9473" width="10" style="112" customWidth="1"/>
    <col min="9474" max="9474" width="64.28515625" style="112" customWidth="1"/>
    <col min="9475" max="9475" width="7" style="112" customWidth="1"/>
    <col min="9476" max="9476" width="17" style="112" customWidth="1"/>
    <col min="9477" max="9477" width="22.28515625" style="112" customWidth="1"/>
    <col min="9478" max="9478" width="19.5703125" style="112" customWidth="1"/>
    <col min="9479" max="9479" width="15" style="112" customWidth="1"/>
    <col min="9480" max="9480" width="12" style="112" customWidth="1"/>
    <col min="9481" max="9481" width="13" style="112" customWidth="1"/>
    <col min="9482" max="9482" width="14.140625" style="112" customWidth="1"/>
    <col min="9483" max="9483" width="16.140625" style="112" customWidth="1"/>
    <col min="9484" max="9484" width="17" style="112" customWidth="1"/>
    <col min="9485" max="9485" width="23.42578125" style="112" customWidth="1"/>
    <col min="9486" max="9486" width="17" style="112" customWidth="1"/>
    <col min="9487" max="9487" width="20.85546875" style="112" customWidth="1"/>
    <col min="9488" max="9488" width="16.28515625" style="112" customWidth="1"/>
    <col min="9489" max="9489" width="9.140625" style="112"/>
    <col min="9490" max="9490" width="18.85546875" style="112" customWidth="1"/>
    <col min="9491" max="9728" width="9.140625" style="112"/>
    <col min="9729" max="9729" width="10" style="112" customWidth="1"/>
    <col min="9730" max="9730" width="64.28515625" style="112" customWidth="1"/>
    <col min="9731" max="9731" width="7" style="112" customWidth="1"/>
    <col min="9732" max="9732" width="17" style="112" customWidth="1"/>
    <col min="9733" max="9733" width="22.28515625" style="112" customWidth="1"/>
    <col min="9734" max="9734" width="19.5703125" style="112" customWidth="1"/>
    <col min="9735" max="9735" width="15" style="112" customWidth="1"/>
    <col min="9736" max="9736" width="12" style="112" customWidth="1"/>
    <col min="9737" max="9737" width="13" style="112" customWidth="1"/>
    <col min="9738" max="9738" width="14.140625" style="112" customWidth="1"/>
    <col min="9739" max="9739" width="16.140625" style="112" customWidth="1"/>
    <col min="9740" max="9740" width="17" style="112" customWidth="1"/>
    <col min="9741" max="9741" width="23.42578125" style="112" customWidth="1"/>
    <col min="9742" max="9742" width="17" style="112" customWidth="1"/>
    <col min="9743" max="9743" width="20.85546875" style="112" customWidth="1"/>
    <col min="9744" max="9744" width="16.28515625" style="112" customWidth="1"/>
    <col min="9745" max="9745" width="9.140625" style="112"/>
    <col min="9746" max="9746" width="18.85546875" style="112" customWidth="1"/>
    <col min="9747" max="9984" width="9.140625" style="112"/>
    <col min="9985" max="9985" width="10" style="112" customWidth="1"/>
    <col min="9986" max="9986" width="64.28515625" style="112" customWidth="1"/>
    <col min="9987" max="9987" width="7" style="112" customWidth="1"/>
    <col min="9988" max="9988" width="17" style="112" customWidth="1"/>
    <col min="9989" max="9989" width="22.28515625" style="112" customWidth="1"/>
    <col min="9990" max="9990" width="19.5703125" style="112" customWidth="1"/>
    <col min="9991" max="9991" width="15" style="112" customWidth="1"/>
    <col min="9992" max="9992" width="12" style="112" customWidth="1"/>
    <col min="9993" max="9993" width="13" style="112" customWidth="1"/>
    <col min="9994" max="9994" width="14.140625" style="112" customWidth="1"/>
    <col min="9995" max="9995" width="16.140625" style="112" customWidth="1"/>
    <col min="9996" max="9996" width="17" style="112" customWidth="1"/>
    <col min="9997" max="9997" width="23.42578125" style="112" customWidth="1"/>
    <col min="9998" max="9998" width="17" style="112" customWidth="1"/>
    <col min="9999" max="9999" width="20.85546875" style="112" customWidth="1"/>
    <col min="10000" max="10000" width="16.28515625" style="112" customWidth="1"/>
    <col min="10001" max="10001" width="9.140625" style="112"/>
    <col min="10002" max="10002" width="18.85546875" style="112" customWidth="1"/>
    <col min="10003" max="10240" width="9.140625" style="112"/>
    <col min="10241" max="10241" width="10" style="112" customWidth="1"/>
    <col min="10242" max="10242" width="64.28515625" style="112" customWidth="1"/>
    <col min="10243" max="10243" width="7" style="112" customWidth="1"/>
    <col min="10244" max="10244" width="17" style="112" customWidth="1"/>
    <col min="10245" max="10245" width="22.28515625" style="112" customWidth="1"/>
    <col min="10246" max="10246" width="19.5703125" style="112" customWidth="1"/>
    <col min="10247" max="10247" width="15" style="112" customWidth="1"/>
    <col min="10248" max="10248" width="12" style="112" customWidth="1"/>
    <col min="10249" max="10249" width="13" style="112" customWidth="1"/>
    <col min="10250" max="10250" width="14.140625" style="112" customWidth="1"/>
    <col min="10251" max="10251" width="16.140625" style="112" customWidth="1"/>
    <col min="10252" max="10252" width="17" style="112" customWidth="1"/>
    <col min="10253" max="10253" width="23.42578125" style="112" customWidth="1"/>
    <col min="10254" max="10254" width="17" style="112" customWidth="1"/>
    <col min="10255" max="10255" width="20.85546875" style="112" customWidth="1"/>
    <col min="10256" max="10256" width="16.28515625" style="112" customWidth="1"/>
    <col min="10257" max="10257" width="9.140625" style="112"/>
    <col min="10258" max="10258" width="18.85546875" style="112" customWidth="1"/>
    <col min="10259" max="10496" width="9.140625" style="112"/>
    <col min="10497" max="10497" width="10" style="112" customWidth="1"/>
    <col min="10498" max="10498" width="64.28515625" style="112" customWidth="1"/>
    <col min="10499" max="10499" width="7" style="112" customWidth="1"/>
    <col min="10500" max="10500" width="17" style="112" customWidth="1"/>
    <col min="10501" max="10501" width="22.28515625" style="112" customWidth="1"/>
    <col min="10502" max="10502" width="19.5703125" style="112" customWidth="1"/>
    <col min="10503" max="10503" width="15" style="112" customWidth="1"/>
    <col min="10504" max="10504" width="12" style="112" customWidth="1"/>
    <col min="10505" max="10505" width="13" style="112" customWidth="1"/>
    <col min="10506" max="10506" width="14.140625" style="112" customWidth="1"/>
    <col min="10507" max="10507" width="16.140625" style="112" customWidth="1"/>
    <col min="10508" max="10508" width="17" style="112" customWidth="1"/>
    <col min="10509" max="10509" width="23.42578125" style="112" customWidth="1"/>
    <col min="10510" max="10510" width="17" style="112" customWidth="1"/>
    <col min="10511" max="10511" width="20.85546875" style="112" customWidth="1"/>
    <col min="10512" max="10512" width="16.28515625" style="112" customWidth="1"/>
    <col min="10513" max="10513" width="9.140625" style="112"/>
    <col min="10514" max="10514" width="18.85546875" style="112" customWidth="1"/>
    <col min="10515" max="10752" width="9.140625" style="112"/>
    <col min="10753" max="10753" width="10" style="112" customWidth="1"/>
    <col min="10754" max="10754" width="64.28515625" style="112" customWidth="1"/>
    <col min="10755" max="10755" width="7" style="112" customWidth="1"/>
    <col min="10756" max="10756" width="17" style="112" customWidth="1"/>
    <col min="10757" max="10757" width="22.28515625" style="112" customWidth="1"/>
    <col min="10758" max="10758" width="19.5703125" style="112" customWidth="1"/>
    <col min="10759" max="10759" width="15" style="112" customWidth="1"/>
    <col min="10760" max="10760" width="12" style="112" customWidth="1"/>
    <col min="10761" max="10761" width="13" style="112" customWidth="1"/>
    <col min="10762" max="10762" width="14.140625" style="112" customWidth="1"/>
    <col min="10763" max="10763" width="16.140625" style="112" customWidth="1"/>
    <col min="10764" max="10764" width="17" style="112" customWidth="1"/>
    <col min="10765" max="10765" width="23.42578125" style="112" customWidth="1"/>
    <col min="10766" max="10766" width="17" style="112" customWidth="1"/>
    <col min="10767" max="10767" width="20.85546875" style="112" customWidth="1"/>
    <col min="10768" max="10768" width="16.28515625" style="112" customWidth="1"/>
    <col min="10769" max="10769" width="9.140625" style="112"/>
    <col min="10770" max="10770" width="18.85546875" style="112" customWidth="1"/>
    <col min="10771" max="11008" width="9.140625" style="112"/>
    <col min="11009" max="11009" width="10" style="112" customWidth="1"/>
    <col min="11010" max="11010" width="64.28515625" style="112" customWidth="1"/>
    <col min="11011" max="11011" width="7" style="112" customWidth="1"/>
    <col min="11012" max="11012" width="17" style="112" customWidth="1"/>
    <col min="11013" max="11013" width="22.28515625" style="112" customWidth="1"/>
    <col min="11014" max="11014" width="19.5703125" style="112" customWidth="1"/>
    <col min="11015" max="11015" width="15" style="112" customWidth="1"/>
    <col min="11016" max="11016" width="12" style="112" customWidth="1"/>
    <col min="11017" max="11017" width="13" style="112" customWidth="1"/>
    <col min="11018" max="11018" width="14.140625" style="112" customWidth="1"/>
    <col min="11019" max="11019" width="16.140625" style="112" customWidth="1"/>
    <col min="11020" max="11020" width="17" style="112" customWidth="1"/>
    <col min="11021" max="11021" width="23.42578125" style="112" customWidth="1"/>
    <col min="11022" max="11022" width="17" style="112" customWidth="1"/>
    <col min="11023" max="11023" width="20.85546875" style="112" customWidth="1"/>
    <col min="11024" max="11024" width="16.28515625" style="112" customWidth="1"/>
    <col min="11025" max="11025" width="9.140625" style="112"/>
    <col min="11026" max="11026" width="18.85546875" style="112" customWidth="1"/>
    <col min="11027" max="11264" width="9.140625" style="112"/>
    <col min="11265" max="11265" width="10" style="112" customWidth="1"/>
    <col min="11266" max="11266" width="64.28515625" style="112" customWidth="1"/>
    <col min="11267" max="11267" width="7" style="112" customWidth="1"/>
    <col min="11268" max="11268" width="17" style="112" customWidth="1"/>
    <col min="11269" max="11269" width="22.28515625" style="112" customWidth="1"/>
    <col min="11270" max="11270" width="19.5703125" style="112" customWidth="1"/>
    <col min="11271" max="11271" width="15" style="112" customWidth="1"/>
    <col min="11272" max="11272" width="12" style="112" customWidth="1"/>
    <col min="11273" max="11273" width="13" style="112" customWidth="1"/>
    <col min="11274" max="11274" width="14.140625" style="112" customWidth="1"/>
    <col min="11275" max="11275" width="16.140625" style="112" customWidth="1"/>
    <col min="11276" max="11276" width="17" style="112" customWidth="1"/>
    <col min="11277" max="11277" width="23.42578125" style="112" customWidth="1"/>
    <col min="11278" max="11278" width="17" style="112" customWidth="1"/>
    <col min="11279" max="11279" width="20.85546875" style="112" customWidth="1"/>
    <col min="11280" max="11280" width="16.28515625" style="112" customWidth="1"/>
    <col min="11281" max="11281" width="9.140625" style="112"/>
    <col min="11282" max="11282" width="18.85546875" style="112" customWidth="1"/>
    <col min="11283" max="11520" width="9.140625" style="112"/>
    <col min="11521" max="11521" width="10" style="112" customWidth="1"/>
    <col min="11522" max="11522" width="64.28515625" style="112" customWidth="1"/>
    <col min="11523" max="11523" width="7" style="112" customWidth="1"/>
    <col min="11524" max="11524" width="17" style="112" customWidth="1"/>
    <col min="11525" max="11525" width="22.28515625" style="112" customWidth="1"/>
    <col min="11526" max="11526" width="19.5703125" style="112" customWidth="1"/>
    <col min="11527" max="11527" width="15" style="112" customWidth="1"/>
    <col min="11528" max="11528" width="12" style="112" customWidth="1"/>
    <col min="11529" max="11529" width="13" style="112" customWidth="1"/>
    <col min="11530" max="11530" width="14.140625" style="112" customWidth="1"/>
    <col min="11531" max="11531" width="16.140625" style="112" customWidth="1"/>
    <col min="11532" max="11532" width="17" style="112" customWidth="1"/>
    <col min="11533" max="11533" width="23.42578125" style="112" customWidth="1"/>
    <col min="11534" max="11534" width="17" style="112" customWidth="1"/>
    <col min="11535" max="11535" width="20.85546875" style="112" customWidth="1"/>
    <col min="11536" max="11536" width="16.28515625" style="112" customWidth="1"/>
    <col min="11537" max="11537" width="9.140625" style="112"/>
    <col min="11538" max="11538" width="18.85546875" style="112" customWidth="1"/>
    <col min="11539" max="11776" width="9.140625" style="112"/>
    <col min="11777" max="11777" width="10" style="112" customWidth="1"/>
    <col min="11778" max="11778" width="64.28515625" style="112" customWidth="1"/>
    <col min="11779" max="11779" width="7" style="112" customWidth="1"/>
    <col min="11780" max="11780" width="17" style="112" customWidth="1"/>
    <col min="11781" max="11781" width="22.28515625" style="112" customWidth="1"/>
    <col min="11782" max="11782" width="19.5703125" style="112" customWidth="1"/>
    <col min="11783" max="11783" width="15" style="112" customWidth="1"/>
    <col min="11784" max="11784" width="12" style="112" customWidth="1"/>
    <col min="11785" max="11785" width="13" style="112" customWidth="1"/>
    <col min="11786" max="11786" width="14.140625" style="112" customWidth="1"/>
    <col min="11787" max="11787" width="16.140625" style="112" customWidth="1"/>
    <col min="11788" max="11788" width="17" style="112" customWidth="1"/>
    <col min="11789" max="11789" width="23.42578125" style="112" customWidth="1"/>
    <col min="11790" max="11790" width="17" style="112" customWidth="1"/>
    <col min="11791" max="11791" width="20.85546875" style="112" customWidth="1"/>
    <col min="11792" max="11792" width="16.28515625" style="112" customWidth="1"/>
    <col min="11793" max="11793" width="9.140625" style="112"/>
    <col min="11794" max="11794" width="18.85546875" style="112" customWidth="1"/>
    <col min="11795" max="12032" width="9.140625" style="112"/>
    <col min="12033" max="12033" width="10" style="112" customWidth="1"/>
    <col min="12034" max="12034" width="64.28515625" style="112" customWidth="1"/>
    <col min="12035" max="12035" width="7" style="112" customWidth="1"/>
    <col min="12036" max="12036" width="17" style="112" customWidth="1"/>
    <col min="12037" max="12037" width="22.28515625" style="112" customWidth="1"/>
    <col min="12038" max="12038" width="19.5703125" style="112" customWidth="1"/>
    <col min="12039" max="12039" width="15" style="112" customWidth="1"/>
    <col min="12040" max="12040" width="12" style="112" customWidth="1"/>
    <col min="12041" max="12041" width="13" style="112" customWidth="1"/>
    <col min="12042" max="12042" width="14.140625" style="112" customWidth="1"/>
    <col min="12043" max="12043" width="16.140625" style="112" customWidth="1"/>
    <col min="12044" max="12044" width="17" style="112" customWidth="1"/>
    <col min="12045" max="12045" width="23.42578125" style="112" customWidth="1"/>
    <col min="12046" max="12046" width="17" style="112" customWidth="1"/>
    <col min="12047" max="12047" width="20.85546875" style="112" customWidth="1"/>
    <col min="12048" max="12048" width="16.28515625" style="112" customWidth="1"/>
    <col min="12049" max="12049" width="9.140625" style="112"/>
    <col min="12050" max="12050" width="18.85546875" style="112" customWidth="1"/>
    <col min="12051" max="12288" width="9.140625" style="112"/>
    <col min="12289" max="12289" width="10" style="112" customWidth="1"/>
    <col min="12290" max="12290" width="64.28515625" style="112" customWidth="1"/>
    <col min="12291" max="12291" width="7" style="112" customWidth="1"/>
    <col min="12292" max="12292" width="17" style="112" customWidth="1"/>
    <col min="12293" max="12293" width="22.28515625" style="112" customWidth="1"/>
    <col min="12294" max="12294" width="19.5703125" style="112" customWidth="1"/>
    <col min="12295" max="12295" width="15" style="112" customWidth="1"/>
    <col min="12296" max="12296" width="12" style="112" customWidth="1"/>
    <col min="12297" max="12297" width="13" style="112" customWidth="1"/>
    <col min="12298" max="12298" width="14.140625" style="112" customWidth="1"/>
    <col min="12299" max="12299" width="16.140625" style="112" customWidth="1"/>
    <col min="12300" max="12300" width="17" style="112" customWidth="1"/>
    <col min="12301" max="12301" width="23.42578125" style="112" customWidth="1"/>
    <col min="12302" max="12302" width="17" style="112" customWidth="1"/>
    <col min="12303" max="12303" width="20.85546875" style="112" customWidth="1"/>
    <col min="12304" max="12304" width="16.28515625" style="112" customWidth="1"/>
    <col min="12305" max="12305" width="9.140625" style="112"/>
    <col min="12306" max="12306" width="18.85546875" style="112" customWidth="1"/>
    <col min="12307" max="12544" width="9.140625" style="112"/>
    <col min="12545" max="12545" width="10" style="112" customWidth="1"/>
    <col min="12546" max="12546" width="64.28515625" style="112" customWidth="1"/>
    <col min="12547" max="12547" width="7" style="112" customWidth="1"/>
    <col min="12548" max="12548" width="17" style="112" customWidth="1"/>
    <col min="12549" max="12549" width="22.28515625" style="112" customWidth="1"/>
    <col min="12550" max="12550" width="19.5703125" style="112" customWidth="1"/>
    <col min="12551" max="12551" width="15" style="112" customWidth="1"/>
    <col min="12552" max="12552" width="12" style="112" customWidth="1"/>
    <col min="12553" max="12553" width="13" style="112" customWidth="1"/>
    <col min="12554" max="12554" width="14.140625" style="112" customWidth="1"/>
    <col min="12555" max="12555" width="16.140625" style="112" customWidth="1"/>
    <col min="12556" max="12556" width="17" style="112" customWidth="1"/>
    <col min="12557" max="12557" width="23.42578125" style="112" customWidth="1"/>
    <col min="12558" max="12558" width="17" style="112" customWidth="1"/>
    <col min="12559" max="12559" width="20.85546875" style="112" customWidth="1"/>
    <col min="12560" max="12560" width="16.28515625" style="112" customWidth="1"/>
    <col min="12561" max="12561" width="9.140625" style="112"/>
    <col min="12562" max="12562" width="18.85546875" style="112" customWidth="1"/>
    <col min="12563" max="12800" width="9.140625" style="112"/>
    <col min="12801" max="12801" width="10" style="112" customWidth="1"/>
    <col min="12802" max="12802" width="64.28515625" style="112" customWidth="1"/>
    <col min="12803" max="12803" width="7" style="112" customWidth="1"/>
    <col min="12804" max="12804" width="17" style="112" customWidth="1"/>
    <col min="12805" max="12805" width="22.28515625" style="112" customWidth="1"/>
    <col min="12806" max="12806" width="19.5703125" style="112" customWidth="1"/>
    <col min="12807" max="12807" width="15" style="112" customWidth="1"/>
    <col min="12808" max="12808" width="12" style="112" customWidth="1"/>
    <col min="12809" max="12809" width="13" style="112" customWidth="1"/>
    <col min="12810" max="12810" width="14.140625" style="112" customWidth="1"/>
    <col min="12811" max="12811" width="16.140625" style="112" customWidth="1"/>
    <col min="12812" max="12812" width="17" style="112" customWidth="1"/>
    <col min="12813" max="12813" width="23.42578125" style="112" customWidth="1"/>
    <col min="12814" max="12814" width="17" style="112" customWidth="1"/>
    <col min="12815" max="12815" width="20.85546875" style="112" customWidth="1"/>
    <col min="12816" max="12816" width="16.28515625" style="112" customWidth="1"/>
    <col min="12817" max="12817" width="9.140625" style="112"/>
    <col min="12818" max="12818" width="18.85546875" style="112" customWidth="1"/>
    <col min="12819" max="13056" width="9.140625" style="112"/>
    <col min="13057" max="13057" width="10" style="112" customWidth="1"/>
    <col min="13058" max="13058" width="64.28515625" style="112" customWidth="1"/>
    <col min="13059" max="13059" width="7" style="112" customWidth="1"/>
    <col min="13060" max="13060" width="17" style="112" customWidth="1"/>
    <col min="13061" max="13061" width="22.28515625" style="112" customWidth="1"/>
    <col min="13062" max="13062" width="19.5703125" style="112" customWidth="1"/>
    <col min="13063" max="13063" width="15" style="112" customWidth="1"/>
    <col min="13064" max="13064" width="12" style="112" customWidth="1"/>
    <col min="13065" max="13065" width="13" style="112" customWidth="1"/>
    <col min="13066" max="13066" width="14.140625" style="112" customWidth="1"/>
    <col min="13067" max="13067" width="16.140625" style="112" customWidth="1"/>
    <col min="13068" max="13068" width="17" style="112" customWidth="1"/>
    <col min="13069" max="13069" width="23.42578125" style="112" customWidth="1"/>
    <col min="13070" max="13070" width="17" style="112" customWidth="1"/>
    <col min="13071" max="13071" width="20.85546875" style="112" customWidth="1"/>
    <col min="13072" max="13072" width="16.28515625" style="112" customWidth="1"/>
    <col min="13073" max="13073" width="9.140625" style="112"/>
    <col min="13074" max="13074" width="18.85546875" style="112" customWidth="1"/>
    <col min="13075" max="13312" width="9.140625" style="112"/>
    <col min="13313" max="13313" width="10" style="112" customWidth="1"/>
    <col min="13314" max="13314" width="64.28515625" style="112" customWidth="1"/>
    <col min="13315" max="13315" width="7" style="112" customWidth="1"/>
    <col min="13316" max="13316" width="17" style="112" customWidth="1"/>
    <col min="13317" max="13317" width="22.28515625" style="112" customWidth="1"/>
    <col min="13318" max="13318" width="19.5703125" style="112" customWidth="1"/>
    <col min="13319" max="13319" width="15" style="112" customWidth="1"/>
    <col min="13320" max="13320" width="12" style="112" customWidth="1"/>
    <col min="13321" max="13321" width="13" style="112" customWidth="1"/>
    <col min="13322" max="13322" width="14.140625" style="112" customWidth="1"/>
    <col min="13323" max="13323" width="16.140625" style="112" customWidth="1"/>
    <col min="13324" max="13324" width="17" style="112" customWidth="1"/>
    <col min="13325" max="13325" width="23.42578125" style="112" customWidth="1"/>
    <col min="13326" max="13326" width="17" style="112" customWidth="1"/>
    <col min="13327" max="13327" width="20.85546875" style="112" customWidth="1"/>
    <col min="13328" max="13328" width="16.28515625" style="112" customWidth="1"/>
    <col min="13329" max="13329" width="9.140625" style="112"/>
    <col min="13330" max="13330" width="18.85546875" style="112" customWidth="1"/>
    <col min="13331" max="13568" width="9.140625" style="112"/>
    <col min="13569" max="13569" width="10" style="112" customWidth="1"/>
    <col min="13570" max="13570" width="64.28515625" style="112" customWidth="1"/>
    <col min="13571" max="13571" width="7" style="112" customWidth="1"/>
    <col min="13572" max="13572" width="17" style="112" customWidth="1"/>
    <col min="13573" max="13573" width="22.28515625" style="112" customWidth="1"/>
    <col min="13574" max="13574" width="19.5703125" style="112" customWidth="1"/>
    <col min="13575" max="13575" width="15" style="112" customWidth="1"/>
    <col min="13576" max="13576" width="12" style="112" customWidth="1"/>
    <col min="13577" max="13577" width="13" style="112" customWidth="1"/>
    <col min="13578" max="13578" width="14.140625" style="112" customWidth="1"/>
    <col min="13579" max="13579" width="16.140625" style="112" customWidth="1"/>
    <col min="13580" max="13580" width="17" style="112" customWidth="1"/>
    <col min="13581" max="13581" width="23.42578125" style="112" customWidth="1"/>
    <col min="13582" max="13582" width="17" style="112" customWidth="1"/>
    <col min="13583" max="13583" width="20.85546875" style="112" customWidth="1"/>
    <col min="13584" max="13584" width="16.28515625" style="112" customWidth="1"/>
    <col min="13585" max="13585" width="9.140625" style="112"/>
    <col min="13586" max="13586" width="18.85546875" style="112" customWidth="1"/>
    <col min="13587" max="13824" width="9.140625" style="112"/>
    <col min="13825" max="13825" width="10" style="112" customWidth="1"/>
    <col min="13826" max="13826" width="64.28515625" style="112" customWidth="1"/>
    <col min="13827" max="13827" width="7" style="112" customWidth="1"/>
    <col min="13828" max="13828" width="17" style="112" customWidth="1"/>
    <col min="13829" max="13829" width="22.28515625" style="112" customWidth="1"/>
    <col min="13830" max="13830" width="19.5703125" style="112" customWidth="1"/>
    <col min="13831" max="13831" width="15" style="112" customWidth="1"/>
    <col min="13832" max="13832" width="12" style="112" customWidth="1"/>
    <col min="13833" max="13833" width="13" style="112" customWidth="1"/>
    <col min="13834" max="13834" width="14.140625" style="112" customWidth="1"/>
    <col min="13835" max="13835" width="16.140625" style="112" customWidth="1"/>
    <col min="13836" max="13836" width="17" style="112" customWidth="1"/>
    <col min="13837" max="13837" width="23.42578125" style="112" customWidth="1"/>
    <col min="13838" max="13838" width="17" style="112" customWidth="1"/>
    <col min="13839" max="13839" width="20.85546875" style="112" customWidth="1"/>
    <col min="13840" max="13840" width="16.28515625" style="112" customWidth="1"/>
    <col min="13841" max="13841" width="9.140625" style="112"/>
    <col min="13842" max="13842" width="18.85546875" style="112" customWidth="1"/>
    <col min="13843" max="14080" width="9.140625" style="112"/>
    <col min="14081" max="14081" width="10" style="112" customWidth="1"/>
    <col min="14082" max="14082" width="64.28515625" style="112" customWidth="1"/>
    <col min="14083" max="14083" width="7" style="112" customWidth="1"/>
    <col min="14084" max="14084" width="17" style="112" customWidth="1"/>
    <col min="14085" max="14085" width="22.28515625" style="112" customWidth="1"/>
    <col min="14086" max="14086" width="19.5703125" style="112" customWidth="1"/>
    <col min="14087" max="14087" width="15" style="112" customWidth="1"/>
    <col min="14088" max="14088" width="12" style="112" customWidth="1"/>
    <col min="14089" max="14089" width="13" style="112" customWidth="1"/>
    <col min="14090" max="14090" width="14.140625" style="112" customWidth="1"/>
    <col min="14091" max="14091" width="16.140625" style="112" customWidth="1"/>
    <col min="14092" max="14092" width="17" style="112" customWidth="1"/>
    <col min="14093" max="14093" width="23.42578125" style="112" customWidth="1"/>
    <col min="14094" max="14094" width="17" style="112" customWidth="1"/>
    <col min="14095" max="14095" width="20.85546875" style="112" customWidth="1"/>
    <col min="14096" max="14096" width="16.28515625" style="112" customWidth="1"/>
    <col min="14097" max="14097" width="9.140625" style="112"/>
    <col min="14098" max="14098" width="18.85546875" style="112" customWidth="1"/>
    <col min="14099" max="14336" width="9.140625" style="112"/>
    <col min="14337" max="14337" width="10" style="112" customWidth="1"/>
    <col min="14338" max="14338" width="64.28515625" style="112" customWidth="1"/>
    <col min="14339" max="14339" width="7" style="112" customWidth="1"/>
    <col min="14340" max="14340" width="17" style="112" customWidth="1"/>
    <col min="14341" max="14341" width="22.28515625" style="112" customWidth="1"/>
    <col min="14342" max="14342" width="19.5703125" style="112" customWidth="1"/>
    <col min="14343" max="14343" width="15" style="112" customWidth="1"/>
    <col min="14344" max="14344" width="12" style="112" customWidth="1"/>
    <col min="14345" max="14345" width="13" style="112" customWidth="1"/>
    <col min="14346" max="14346" width="14.140625" style="112" customWidth="1"/>
    <col min="14347" max="14347" width="16.140625" style="112" customWidth="1"/>
    <col min="14348" max="14348" width="17" style="112" customWidth="1"/>
    <col min="14349" max="14349" width="23.42578125" style="112" customWidth="1"/>
    <col min="14350" max="14350" width="17" style="112" customWidth="1"/>
    <col min="14351" max="14351" width="20.85546875" style="112" customWidth="1"/>
    <col min="14352" max="14352" width="16.28515625" style="112" customWidth="1"/>
    <col min="14353" max="14353" width="9.140625" style="112"/>
    <col min="14354" max="14354" width="18.85546875" style="112" customWidth="1"/>
    <col min="14355" max="14592" width="9.140625" style="112"/>
    <col min="14593" max="14593" width="10" style="112" customWidth="1"/>
    <col min="14594" max="14594" width="64.28515625" style="112" customWidth="1"/>
    <col min="14595" max="14595" width="7" style="112" customWidth="1"/>
    <col min="14596" max="14596" width="17" style="112" customWidth="1"/>
    <col min="14597" max="14597" width="22.28515625" style="112" customWidth="1"/>
    <col min="14598" max="14598" width="19.5703125" style="112" customWidth="1"/>
    <col min="14599" max="14599" width="15" style="112" customWidth="1"/>
    <col min="14600" max="14600" width="12" style="112" customWidth="1"/>
    <col min="14601" max="14601" width="13" style="112" customWidth="1"/>
    <col min="14602" max="14602" width="14.140625" style="112" customWidth="1"/>
    <col min="14603" max="14603" width="16.140625" style="112" customWidth="1"/>
    <col min="14604" max="14604" width="17" style="112" customWidth="1"/>
    <col min="14605" max="14605" width="23.42578125" style="112" customWidth="1"/>
    <col min="14606" max="14606" width="17" style="112" customWidth="1"/>
    <col min="14607" max="14607" width="20.85546875" style="112" customWidth="1"/>
    <col min="14608" max="14608" width="16.28515625" style="112" customWidth="1"/>
    <col min="14609" max="14609" width="9.140625" style="112"/>
    <col min="14610" max="14610" width="18.85546875" style="112" customWidth="1"/>
    <col min="14611" max="14848" width="9.140625" style="112"/>
    <col min="14849" max="14849" width="10" style="112" customWidth="1"/>
    <col min="14850" max="14850" width="64.28515625" style="112" customWidth="1"/>
    <col min="14851" max="14851" width="7" style="112" customWidth="1"/>
    <col min="14852" max="14852" width="17" style="112" customWidth="1"/>
    <col min="14853" max="14853" width="22.28515625" style="112" customWidth="1"/>
    <col min="14854" max="14854" width="19.5703125" style="112" customWidth="1"/>
    <col min="14855" max="14855" width="15" style="112" customWidth="1"/>
    <col min="14856" max="14856" width="12" style="112" customWidth="1"/>
    <col min="14857" max="14857" width="13" style="112" customWidth="1"/>
    <col min="14858" max="14858" width="14.140625" style="112" customWidth="1"/>
    <col min="14859" max="14859" width="16.140625" style="112" customWidth="1"/>
    <col min="14860" max="14860" width="17" style="112" customWidth="1"/>
    <col min="14861" max="14861" width="23.42578125" style="112" customWidth="1"/>
    <col min="14862" max="14862" width="17" style="112" customWidth="1"/>
    <col min="14863" max="14863" width="20.85546875" style="112" customWidth="1"/>
    <col min="14864" max="14864" width="16.28515625" style="112" customWidth="1"/>
    <col min="14865" max="14865" width="9.140625" style="112"/>
    <col min="14866" max="14866" width="18.85546875" style="112" customWidth="1"/>
    <col min="14867" max="15104" width="9.140625" style="112"/>
    <col min="15105" max="15105" width="10" style="112" customWidth="1"/>
    <col min="15106" max="15106" width="64.28515625" style="112" customWidth="1"/>
    <col min="15107" max="15107" width="7" style="112" customWidth="1"/>
    <col min="15108" max="15108" width="17" style="112" customWidth="1"/>
    <col min="15109" max="15109" width="22.28515625" style="112" customWidth="1"/>
    <col min="15110" max="15110" width="19.5703125" style="112" customWidth="1"/>
    <col min="15111" max="15111" width="15" style="112" customWidth="1"/>
    <col min="15112" max="15112" width="12" style="112" customWidth="1"/>
    <col min="15113" max="15113" width="13" style="112" customWidth="1"/>
    <col min="15114" max="15114" width="14.140625" style="112" customWidth="1"/>
    <col min="15115" max="15115" width="16.140625" style="112" customWidth="1"/>
    <col min="15116" max="15116" width="17" style="112" customWidth="1"/>
    <col min="15117" max="15117" width="23.42578125" style="112" customWidth="1"/>
    <col min="15118" max="15118" width="17" style="112" customWidth="1"/>
    <col min="15119" max="15119" width="20.85546875" style="112" customWidth="1"/>
    <col min="15120" max="15120" width="16.28515625" style="112" customWidth="1"/>
    <col min="15121" max="15121" width="9.140625" style="112"/>
    <col min="15122" max="15122" width="18.85546875" style="112" customWidth="1"/>
    <col min="15123" max="15360" width="9.140625" style="112"/>
    <col min="15361" max="15361" width="10" style="112" customWidth="1"/>
    <col min="15362" max="15362" width="64.28515625" style="112" customWidth="1"/>
    <col min="15363" max="15363" width="7" style="112" customWidth="1"/>
    <col min="15364" max="15364" width="17" style="112" customWidth="1"/>
    <col min="15365" max="15365" width="22.28515625" style="112" customWidth="1"/>
    <col min="15366" max="15366" width="19.5703125" style="112" customWidth="1"/>
    <col min="15367" max="15367" width="15" style="112" customWidth="1"/>
    <col min="15368" max="15368" width="12" style="112" customWidth="1"/>
    <col min="15369" max="15369" width="13" style="112" customWidth="1"/>
    <col min="15370" max="15370" width="14.140625" style="112" customWidth="1"/>
    <col min="15371" max="15371" width="16.140625" style="112" customWidth="1"/>
    <col min="15372" max="15372" width="17" style="112" customWidth="1"/>
    <col min="15373" max="15373" width="23.42578125" style="112" customWidth="1"/>
    <col min="15374" max="15374" width="17" style="112" customWidth="1"/>
    <col min="15375" max="15375" width="20.85546875" style="112" customWidth="1"/>
    <col min="15376" max="15376" width="16.28515625" style="112" customWidth="1"/>
    <col min="15377" max="15377" width="9.140625" style="112"/>
    <col min="15378" max="15378" width="18.85546875" style="112" customWidth="1"/>
    <col min="15379" max="15616" width="9.140625" style="112"/>
    <col min="15617" max="15617" width="10" style="112" customWidth="1"/>
    <col min="15618" max="15618" width="64.28515625" style="112" customWidth="1"/>
    <col min="15619" max="15619" width="7" style="112" customWidth="1"/>
    <col min="15620" max="15620" width="17" style="112" customWidth="1"/>
    <col min="15621" max="15621" width="22.28515625" style="112" customWidth="1"/>
    <col min="15622" max="15622" width="19.5703125" style="112" customWidth="1"/>
    <col min="15623" max="15623" width="15" style="112" customWidth="1"/>
    <col min="15624" max="15624" width="12" style="112" customWidth="1"/>
    <col min="15625" max="15625" width="13" style="112" customWidth="1"/>
    <col min="15626" max="15626" width="14.140625" style="112" customWidth="1"/>
    <col min="15627" max="15627" width="16.140625" style="112" customWidth="1"/>
    <col min="15628" max="15628" width="17" style="112" customWidth="1"/>
    <col min="15629" max="15629" width="23.42578125" style="112" customWidth="1"/>
    <col min="15630" max="15630" width="17" style="112" customWidth="1"/>
    <col min="15631" max="15631" width="20.85546875" style="112" customWidth="1"/>
    <col min="15632" max="15632" width="16.28515625" style="112" customWidth="1"/>
    <col min="15633" max="15633" width="9.140625" style="112"/>
    <col min="15634" max="15634" width="18.85546875" style="112" customWidth="1"/>
    <col min="15635" max="15872" width="9.140625" style="112"/>
    <col min="15873" max="15873" width="10" style="112" customWidth="1"/>
    <col min="15874" max="15874" width="64.28515625" style="112" customWidth="1"/>
    <col min="15875" max="15875" width="7" style="112" customWidth="1"/>
    <col min="15876" max="15876" width="17" style="112" customWidth="1"/>
    <col min="15877" max="15877" width="22.28515625" style="112" customWidth="1"/>
    <col min="15878" max="15878" width="19.5703125" style="112" customWidth="1"/>
    <col min="15879" max="15879" width="15" style="112" customWidth="1"/>
    <col min="15880" max="15880" width="12" style="112" customWidth="1"/>
    <col min="15881" max="15881" width="13" style="112" customWidth="1"/>
    <col min="15882" max="15882" width="14.140625" style="112" customWidth="1"/>
    <col min="15883" max="15883" width="16.140625" style="112" customWidth="1"/>
    <col min="15884" max="15884" width="17" style="112" customWidth="1"/>
    <col min="15885" max="15885" width="23.42578125" style="112" customWidth="1"/>
    <col min="15886" max="15886" width="17" style="112" customWidth="1"/>
    <col min="15887" max="15887" width="20.85546875" style="112" customWidth="1"/>
    <col min="15888" max="15888" width="16.28515625" style="112" customWidth="1"/>
    <col min="15889" max="15889" width="9.140625" style="112"/>
    <col min="15890" max="15890" width="18.85546875" style="112" customWidth="1"/>
    <col min="15891" max="16128" width="9.140625" style="112"/>
    <col min="16129" max="16129" width="10" style="112" customWidth="1"/>
    <col min="16130" max="16130" width="64.28515625" style="112" customWidth="1"/>
    <col min="16131" max="16131" width="7" style="112" customWidth="1"/>
    <col min="16132" max="16132" width="17" style="112" customWidth="1"/>
    <col min="16133" max="16133" width="22.28515625" style="112" customWidth="1"/>
    <col min="16134" max="16134" width="19.5703125" style="112" customWidth="1"/>
    <col min="16135" max="16135" width="15" style="112" customWidth="1"/>
    <col min="16136" max="16136" width="12" style="112" customWidth="1"/>
    <col min="16137" max="16137" width="13" style="112" customWidth="1"/>
    <col min="16138" max="16138" width="14.140625" style="112" customWidth="1"/>
    <col min="16139" max="16139" width="16.140625" style="112" customWidth="1"/>
    <col min="16140" max="16140" width="17" style="112" customWidth="1"/>
    <col min="16141" max="16141" width="23.42578125" style="112" customWidth="1"/>
    <col min="16142" max="16142" width="17" style="112" customWidth="1"/>
    <col min="16143" max="16143" width="20.85546875" style="112" customWidth="1"/>
    <col min="16144" max="16144" width="16.28515625" style="112" customWidth="1"/>
    <col min="16145" max="16145" width="9.140625" style="112"/>
    <col min="16146" max="16146" width="18.85546875" style="112" customWidth="1"/>
    <col min="16147" max="16384" width="9.140625" style="112"/>
  </cols>
  <sheetData>
    <row r="1" spans="1:30" x14ac:dyDescent="0.25">
      <c r="A1" s="360" t="s">
        <v>24</v>
      </c>
      <c r="B1" s="361"/>
      <c r="C1" s="361"/>
      <c r="D1" s="361"/>
      <c r="E1" s="361"/>
      <c r="F1" s="361"/>
      <c r="G1" s="361"/>
      <c r="H1" s="361"/>
      <c r="I1" s="361"/>
      <c r="J1" s="361"/>
      <c r="K1" s="361"/>
      <c r="L1" s="361"/>
      <c r="M1" s="361"/>
      <c r="N1" s="362"/>
      <c r="O1" s="109"/>
      <c r="P1" s="296"/>
    </row>
    <row r="2" spans="1:30" x14ac:dyDescent="0.25">
      <c r="A2" s="363"/>
      <c r="B2" s="364"/>
      <c r="C2" s="364"/>
      <c r="D2" s="364"/>
      <c r="E2" s="364"/>
      <c r="F2" s="364"/>
      <c r="G2" s="364"/>
      <c r="H2" s="364"/>
      <c r="I2" s="364"/>
      <c r="J2" s="364"/>
      <c r="K2" s="364"/>
      <c r="L2" s="364"/>
      <c r="M2" s="364"/>
      <c r="N2" s="365"/>
      <c r="O2" s="109"/>
      <c r="P2" s="296"/>
    </row>
    <row r="3" spans="1:30" x14ac:dyDescent="0.25">
      <c r="A3" s="363" t="s">
        <v>1</v>
      </c>
      <c r="B3" s="364"/>
      <c r="C3" s="364"/>
      <c r="D3" s="364"/>
      <c r="E3" s="364"/>
      <c r="F3" s="364"/>
      <c r="G3" s="364"/>
      <c r="H3" s="364"/>
      <c r="I3" s="364"/>
      <c r="J3" s="364"/>
      <c r="K3" s="364"/>
      <c r="L3" s="364"/>
      <c r="M3" s="364"/>
      <c r="N3" s="365"/>
      <c r="O3" s="109"/>
      <c r="P3" s="296"/>
    </row>
    <row r="4" spans="1:30" x14ac:dyDescent="0.25">
      <c r="A4" s="363" t="s">
        <v>25</v>
      </c>
      <c r="B4" s="364"/>
      <c r="C4" s="364"/>
      <c r="D4" s="364"/>
      <c r="E4" s="364"/>
      <c r="F4" s="364"/>
      <c r="G4" s="364"/>
      <c r="H4" s="364"/>
      <c r="I4" s="364"/>
      <c r="J4" s="364"/>
      <c r="K4" s="364"/>
      <c r="L4" s="364"/>
      <c r="M4" s="364"/>
      <c r="N4" s="365"/>
      <c r="O4" s="109"/>
      <c r="P4" s="296"/>
    </row>
    <row r="5" spans="1:30" x14ac:dyDescent="0.25">
      <c r="A5" s="363" t="s">
        <v>26</v>
      </c>
      <c r="B5" s="364"/>
      <c r="C5" s="364"/>
      <c r="D5" s="364"/>
      <c r="E5" s="364"/>
      <c r="F5" s="364"/>
      <c r="G5" s="364"/>
      <c r="H5" s="364"/>
      <c r="I5" s="364"/>
      <c r="J5" s="364"/>
      <c r="K5" s="364"/>
      <c r="L5" s="364"/>
      <c r="M5" s="364"/>
      <c r="N5" s="365"/>
      <c r="O5" s="109"/>
      <c r="P5" s="296"/>
    </row>
    <row r="6" spans="1:30" x14ac:dyDescent="0.25">
      <c r="A6" s="363" t="s">
        <v>27</v>
      </c>
      <c r="B6" s="364"/>
      <c r="C6" s="364"/>
      <c r="D6" s="364"/>
      <c r="E6" s="364"/>
      <c r="F6" s="364"/>
      <c r="G6" s="364"/>
      <c r="H6" s="364"/>
      <c r="I6" s="364"/>
      <c r="J6" s="364"/>
      <c r="K6" s="364"/>
      <c r="L6" s="364"/>
      <c r="M6" s="364"/>
      <c r="N6" s="365"/>
      <c r="O6" s="109"/>
      <c r="P6" s="296"/>
    </row>
    <row r="7" spans="1:30" ht="16.5" thickBot="1" x14ac:dyDescent="0.3">
      <c r="A7" s="234"/>
      <c r="B7" s="109"/>
      <c r="C7" s="109"/>
      <c r="D7" s="145"/>
      <c r="E7" s="145"/>
      <c r="F7" s="145"/>
      <c r="G7" s="145"/>
      <c r="H7" s="145"/>
      <c r="I7" s="145"/>
      <c r="J7" s="145"/>
      <c r="K7" s="145"/>
      <c r="L7" s="145"/>
      <c r="M7" s="145"/>
      <c r="N7" s="235"/>
      <c r="O7" s="109"/>
      <c r="P7" s="296"/>
    </row>
    <row r="8" spans="1:30" ht="47.25" x14ac:dyDescent="0.2">
      <c r="A8" s="368" t="s">
        <v>0</v>
      </c>
      <c r="B8" s="366" t="str">
        <f>DADOS!D7</f>
        <v>CONSTITUI O PRESENTE OBJETO A CONTRATAÇÃO DE EMPRESA ESPECIALIZADA PARA EXECUÇÃO DE OBRA DA COBERTURA DA QUADRA POLIESPORTIVA DO 8º BATALHÃO DE POLICIA MILITAR, LOCALIZADO NA RUA PROF. MARIO PINOTI, 218, NOVA CRUZ/RN.</v>
      </c>
      <c r="C8" s="358" t="s">
        <v>28</v>
      </c>
      <c r="D8" s="359"/>
      <c r="E8" s="170" t="s">
        <v>72</v>
      </c>
      <c r="F8" s="170" t="s">
        <v>60</v>
      </c>
      <c r="G8" s="170" t="s">
        <v>45</v>
      </c>
      <c r="H8" s="170" t="s">
        <v>29</v>
      </c>
      <c r="I8" s="170" t="s">
        <v>71</v>
      </c>
      <c r="J8" s="202" t="s">
        <v>59</v>
      </c>
      <c r="K8" s="370" t="s">
        <v>210</v>
      </c>
      <c r="L8" s="358" t="str">
        <f>DADOS!D9</f>
        <v>CONARTE PROJETOS CONSTRUÇÕES E SERVIÇOS LTDA</v>
      </c>
      <c r="M8" s="374"/>
      <c r="N8" s="359"/>
      <c r="O8" s="113"/>
      <c r="P8" s="113"/>
      <c r="Q8" s="187"/>
    </row>
    <row r="9" spans="1:30" ht="55.5" customHeight="1" thickBot="1" x14ac:dyDescent="0.25">
      <c r="A9" s="369"/>
      <c r="B9" s="367"/>
      <c r="C9" s="372" t="str">
        <f>DADOS!D11</f>
        <v>057/2025</v>
      </c>
      <c r="D9" s="373"/>
      <c r="E9" s="227" t="str">
        <f>DADOS!H11</f>
        <v>108/2026</v>
      </c>
      <c r="F9" s="226">
        <f>DADOS!D13</f>
        <v>46008</v>
      </c>
      <c r="G9" s="228">
        <f>DADOS!L11</f>
        <v>2</v>
      </c>
      <c r="H9" s="228">
        <f>DADOS!D24</f>
        <v>120</v>
      </c>
      <c r="I9" s="228" t="str">
        <f>DADOS!H13</f>
        <v>01/06/2026 a 21/06/2026</v>
      </c>
      <c r="J9" s="229" t="str">
        <f>DADOS!D16</f>
        <v>10/09/2025</v>
      </c>
      <c r="K9" s="371"/>
      <c r="L9" s="375"/>
      <c r="M9" s="376"/>
      <c r="N9" s="377"/>
      <c r="O9" s="113"/>
      <c r="P9" s="113"/>
    </row>
    <row r="10" spans="1:30" ht="16.5" thickBot="1" x14ac:dyDescent="0.3">
      <c r="A10" s="380" t="s">
        <v>235</v>
      </c>
      <c r="B10" s="381"/>
      <c r="C10" s="381"/>
      <c r="D10" s="381"/>
      <c r="E10" s="381"/>
      <c r="F10" s="381"/>
      <c r="G10" s="381"/>
      <c r="H10" s="381"/>
      <c r="I10" s="381"/>
      <c r="J10" s="381"/>
      <c r="K10" s="381"/>
      <c r="L10" s="381"/>
      <c r="M10" s="381"/>
      <c r="N10" s="382"/>
      <c r="O10" s="113"/>
      <c r="P10" s="113"/>
      <c r="T10" s="136" t="s">
        <v>108</v>
      </c>
      <c r="U10" s="136" t="s">
        <v>108</v>
      </c>
      <c r="V10" s="136" t="s">
        <v>108</v>
      </c>
      <c r="W10" s="136" t="s">
        <v>108</v>
      </c>
      <c r="X10" s="136" t="s">
        <v>108</v>
      </c>
    </row>
    <row r="11" spans="1:30" ht="16.5" thickBot="1" x14ac:dyDescent="0.3">
      <c r="A11" s="383" t="s">
        <v>2</v>
      </c>
      <c r="B11" s="385" t="s">
        <v>64</v>
      </c>
      <c r="C11" s="387" t="s">
        <v>30</v>
      </c>
      <c r="D11" s="388"/>
      <c r="E11" s="388"/>
      <c r="F11" s="388"/>
      <c r="G11" s="388"/>
      <c r="H11" s="389" t="s">
        <v>31</v>
      </c>
      <c r="I11" s="389"/>
      <c r="J11" s="390" t="s">
        <v>32</v>
      </c>
      <c r="K11" s="390"/>
      <c r="L11" s="390"/>
      <c r="M11" s="390"/>
      <c r="N11" s="391"/>
      <c r="O11" s="113"/>
      <c r="P11" s="113"/>
    </row>
    <row r="12" spans="1:30" s="116" customFormat="1" ht="16.5" thickBot="1" x14ac:dyDescent="0.3">
      <c r="A12" s="384"/>
      <c r="B12" s="386"/>
      <c r="C12" s="114" t="s">
        <v>3</v>
      </c>
      <c r="D12" s="146" t="s">
        <v>36</v>
      </c>
      <c r="E12" s="146" t="s">
        <v>33</v>
      </c>
      <c r="F12" s="146" t="s">
        <v>34</v>
      </c>
      <c r="G12" s="146" t="s">
        <v>35</v>
      </c>
      <c r="H12" s="146" t="s">
        <v>33</v>
      </c>
      <c r="I12" s="146" t="s">
        <v>34</v>
      </c>
      <c r="J12" s="146" t="s">
        <v>70</v>
      </c>
      <c r="K12" s="146" t="s">
        <v>36</v>
      </c>
      <c r="L12" s="146" t="s">
        <v>33</v>
      </c>
      <c r="M12" s="146" t="s">
        <v>34</v>
      </c>
      <c r="N12" s="236" t="s">
        <v>35</v>
      </c>
      <c r="O12" s="113"/>
      <c r="P12" s="113"/>
      <c r="Q12" s="188" t="s">
        <v>107</v>
      </c>
      <c r="R12" s="189" t="s">
        <v>35</v>
      </c>
      <c r="S12" s="190" t="s">
        <v>34</v>
      </c>
      <c r="T12" s="173" t="s">
        <v>46</v>
      </c>
      <c r="U12" s="173" t="s">
        <v>47</v>
      </c>
      <c r="V12" s="173" t="s">
        <v>48</v>
      </c>
      <c r="W12" s="173" t="s">
        <v>49</v>
      </c>
      <c r="X12" s="174" t="s">
        <v>80</v>
      </c>
    </row>
    <row r="13" spans="1:30" s="116" customFormat="1" x14ac:dyDescent="0.25">
      <c r="A13" s="121" t="s">
        <v>129</v>
      </c>
      <c r="B13" s="122" t="s">
        <v>73</v>
      </c>
      <c r="C13" s="123"/>
      <c r="D13" s="149"/>
      <c r="E13" s="150"/>
      <c r="F13" s="150"/>
      <c r="G13" s="151"/>
      <c r="H13" s="152"/>
      <c r="I13" s="152"/>
      <c r="J13" s="151"/>
      <c r="K13" s="207">
        <f>SUM(K14:K20)</f>
        <v>23460.26</v>
      </c>
      <c r="L13" s="207">
        <f>SUM(L14:L20)</f>
        <v>6195.01</v>
      </c>
      <c r="M13" s="207">
        <f>SUM(M14:M20)</f>
        <v>16027.88</v>
      </c>
      <c r="N13" s="237">
        <f>SUM(N14:N20)</f>
        <v>7432.38</v>
      </c>
      <c r="O13" s="113"/>
      <c r="P13" s="113"/>
      <c r="Q13" s="191"/>
      <c r="R13" s="191"/>
      <c r="S13" s="192"/>
      <c r="T13" s="171"/>
      <c r="U13" s="171"/>
      <c r="V13" s="171"/>
      <c r="W13" s="171"/>
      <c r="X13" s="172"/>
      <c r="Z13" s="277"/>
      <c r="AB13" s="280"/>
    </row>
    <row r="14" spans="1:30" s="143" customFormat="1" x14ac:dyDescent="0.25">
      <c r="A14" s="238" t="s">
        <v>204</v>
      </c>
      <c r="B14" s="295" t="s">
        <v>90</v>
      </c>
      <c r="C14" s="137" t="s">
        <v>74</v>
      </c>
      <c r="D14" s="138">
        <v>1</v>
      </c>
      <c r="E14" s="138">
        <f>'M. DE CÁLCULO'!K20</f>
        <v>0.35</v>
      </c>
      <c r="F14" s="139">
        <f t="shared" ref="F14:F20" si="0">S14+E14</f>
        <v>0.57999999999999996</v>
      </c>
      <c r="G14" s="140">
        <f t="shared" ref="G14:G63" si="1">D14-F14</f>
        <v>0.42</v>
      </c>
      <c r="H14" s="273">
        <f t="shared" ref="H14:H63" si="2">E14/D14</f>
        <v>0.35</v>
      </c>
      <c r="I14" s="270">
        <f t="shared" ref="I14:I63" si="3">F14/D14</f>
        <v>0.57999999999999996</v>
      </c>
      <c r="J14" s="204">
        <v>17695.490000000002</v>
      </c>
      <c r="K14" s="206">
        <f>(D14*$J14)</f>
        <v>17695.490000000002</v>
      </c>
      <c r="L14" s="206">
        <v>6195.01</v>
      </c>
      <c r="M14" s="204">
        <f t="shared" ref="M14:M50" si="4">TRUNC(F14*$J14,2)</f>
        <v>10263.379999999999</v>
      </c>
      <c r="N14" s="239">
        <f>K14-M14</f>
        <v>7432.11</v>
      </c>
      <c r="O14" s="113"/>
      <c r="P14" s="113"/>
      <c r="Q14" s="141">
        <f>L14</f>
        <v>6195.01</v>
      </c>
      <c r="R14" s="139">
        <f>D14-S14-E14</f>
        <v>0.42</v>
      </c>
      <c r="S14" s="141">
        <f t="shared" ref="S14:S20" si="5">SUM(T14:X14)</f>
        <v>0.23</v>
      </c>
      <c r="T14" s="141">
        <v>0.23</v>
      </c>
      <c r="U14" s="141"/>
      <c r="V14" s="141"/>
      <c r="W14" s="141"/>
      <c r="X14" s="141"/>
      <c r="Y14" s="142"/>
      <c r="Z14" s="278"/>
      <c r="AB14" s="280"/>
      <c r="AC14" s="144"/>
      <c r="AD14" s="144"/>
    </row>
    <row r="15" spans="1:30" s="143" customFormat="1" x14ac:dyDescent="0.25">
      <c r="A15" s="238" t="s">
        <v>133</v>
      </c>
      <c r="B15" s="295" t="s">
        <v>130</v>
      </c>
      <c r="C15" s="137" t="s">
        <v>74</v>
      </c>
      <c r="D15" s="138">
        <v>1</v>
      </c>
      <c r="E15" s="138">
        <f>VLOOKUP(A15,'M. DE CÁLCULO'!$A$17:$N$843,12,0)</f>
        <v>0</v>
      </c>
      <c r="F15" s="139">
        <f t="shared" si="0"/>
        <v>1</v>
      </c>
      <c r="G15" s="140">
        <f t="shared" si="1"/>
        <v>0</v>
      </c>
      <c r="H15" s="273">
        <f t="shared" si="2"/>
        <v>0</v>
      </c>
      <c r="I15" s="270">
        <f t="shared" si="3"/>
        <v>1</v>
      </c>
      <c r="J15" s="204">
        <v>332.45</v>
      </c>
      <c r="K15" s="206">
        <f t="shared" ref="K15:K20" si="6">TRUNC(D15*$J15,2)</f>
        <v>332.45</v>
      </c>
      <c r="L15" s="206">
        <f>TRUNC(E15*$J15,2)</f>
        <v>0</v>
      </c>
      <c r="M15" s="204">
        <f t="shared" si="4"/>
        <v>332.45</v>
      </c>
      <c r="N15" s="239">
        <f t="shared" ref="N15:N20" si="7">K15-M15</f>
        <v>0</v>
      </c>
      <c r="O15" s="113"/>
      <c r="P15" s="113"/>
      <c r="Q15" s="193">
        <f t="shared" ref="Q15:Q55" si="8">L15</f>
        <v>0</v>
      </c>
      <c r="R15" s="194">
        <f t="shared" ref="R15:R55" si="9">D15-S15-E15</f>
        <v>0</v>
      </c>
      <c r="S15" s="193">
        <f t="shared" si="5"/>
        <v>1</v>
      </c>
      <c r="T15" s="141">
        <v>1</v>
      </c>
      <c r="U15" s="141"/>
      <c r="V15" s="141"/>
      <c r="W15" s="141"/>
      <c r="X15" s="141"/>
      <c r="Y15" s="142"/>
      <c r="Z15" s="278"/>
      <c r="AB15" s="280"/>
      <c r="AC15" s="144"/>
      <c r="AD15" s="144"/>
    </row>
    <row r="16" spans="1:30" s="143" customFormat="1" ht="30" x14ac:dyDescent="0.25">
      <c r="A16" s="238" t="s">
        <v>134</v>
      </c>
      <c r="B16" s="295" t="s">
        <v>91</v>
      </c>
      <c r="C16" s="137" t="s">
        <v>75</v>
      </c>
      <c r="D16" s="138">
        <v>6</v>
      </c>
      <c r="E16" s="138">
        <f>VLOOKUP(A16,'M. DE CÁLCULO'!$A$17:$N$843,12,0)</f>
        <v>0</v>
      </c>
      <c r="F16" s="139">
        <f t="shared" si="0"/>
        <v>6</v>
      </c>
      <c r="G16" s="140">
        <f>D16-F16</f>
        <v>0</v>
      </c>
      <c r="H16" s="273">
        <f t="shared" si="2"/>
        <v>0</v>
      </c>
      <c r="I16" s="270">
        <f t="shared" si="3"/>
        <v>1</v>
      </c>
      <c r="J16" s="204">
        <v>527.67999999999995</v>
      </c>
      <c r="K16" s="206">
        <f t="shared" si="6"/>
        <v>3166.08</v>
      </c>
      <c r="L16" s="206">
        <f>TRUNC(E16*$J16,2)</f>
        <v>0</v>
      </c>
      <c r="M16" s="204">
        <f t="shared" si="4"/>
        <v>3166.08</v>
      </c>
      <c r="N16" s="239">
        <f t="shared" si="7"/>
        <v>0</v>
      </c>
      <c r="O16" s="113"/>
      <c r="P16" s="113"/>
      <c r="Q16" s="193">
        <f t="shared" si="8"/>
        <v>0</v>
      </c>
      <c r="R16" s="194">
        <f t="shared" si="9"/>
        <v>0</v>
      </c>
      <c r="S16" s="193">
        <f t="shared" si="5"/>
        <v>6</v>
      </c>
      <c r="T16" s="141">
        <v>6</v>
      </c>
      <c r="U16" s="141"/>
      <c r="V16" s="141"/>
      <c r="W16" s="141"/>
      <c r="X16" s="141"/>
      <c r="Y16" s="142"/>
      <c r="Z16" s="278"/>
      <c r="AB16" s="280"/>
      <c r="AC16" s="144"/>
      <c r="AD16" s="144"/>
    </row>
    <row r="17" spans="1:30" s="143" customFormat="1" ht="30" x14ac:dyDescent="0.25">
      <c r="A17" s="238" t="s">
        <v>135</v>
      </c>
      <c r="B17" s="295" t="s">
        <v>92</v>
      </c>
      <c r="C17" s="137" t="s">
        <v>93</v>
      </c>
      <c r="D17" s="138">
        <v>50</v>
      </c>
      <c r="E17" s="138">
        <f>VLOOKUP(A17,'M. DE CÁLCULO'!$A$17:$N$843,12,0)</f>
        <v>0</v>
      </c>
      <c r="F17" s="139">
        <f t="shared" si="0"/>
        <v>50</v>
      </c>
      <c r="G17" s="140">
        <f>D17-F17</f>
        <v>0</v>
      </c>
      <c r="H17" s="273">
        <f t="shared" ref="H17:H18" si="10">E17/D17</f>
        <v>0</v>
      </c>
      <c r="I17" s="270">
        <f t="shared" ref="I17:I18" si="11">F17/D17</f>
        <v>1</v>
      </c>
      <c r="J17" s="204">
        <v>5</v>
      </c>
      <c r="K17" s="206">
        <f t="shared" si="6"/>
        <v>250</v>
      </c>
      <c r="L17" s="206">
        <f>TRUNC(E17*$J17,2)</f>
        <v>0</v>
      </c>
      <c r="M17" s="204">
        <f t="shared" si="4"/>
        <v>250</v>
      </c>
      <c r="N17" s="239">
        <f t="shared" si="7"/>
        <v>0</v>
      </c>
      <c r="O17" s="113"/>
      <c r="P17" s="113"/>
      <c r="Q17" s="193">
        <f t="shared" si="8"/>
        <v>0</v>
      </c>
      <c r="R17" s="194">
        <f t="shared" si="9"/>
        <v>0</v>
      </c>
      <c r="S17" s="193">
        <f t="shared" si="5"/>
        <v>50</v>
      </c>
      <c r="T17" s="141">
        <v>50</v>
      </c>
      <c r="U17" s="141"/>
      <c r="V17" s="141"/>
      <c r="W17" s="141"/>
      <c r="X17" s="141"/>
      <c r="Y17" s="142"/>
      <c r="Z17" s="278"/>
      <c r="AB17" s="280"/>
      <c r="AC17" s="144"/>
      <c r="AD17" s="144"/>
    </row>
    <row r="18" spans="1:30" s="143" customFormat="1" ht="30" x14ac:dyDescent="0.25">
      <c r="A18" s="238" t="s">
        <v>136</v>
      </c>
      <c r="B18" s="295" t="s">
        <v>94</v>
      </c>
      <c r="C18" s="137" t="s">
        <v>75</v>
      </c>
      <c r="D18" s="138">
        <v>23.66</v>
      </c>
      <c r="E18" s="138">
        <f>VLOOKUP(A18,'M. DE CÁLCULO'!$A$17:$N$843,12,0)</f>
        <v>0</v>
      </c>
      <c r="F18" s="139">
        <f t="shared" si="0"/>
        <v>23.65</v>
      </c>
      <c r="G18" s="140">
        <f>D18-F18</f>
        <v>0.01</v>
      </c>
      <c r="H18" s="273">
        <f t="shared" si="10"/>
        <v>0</v>
      </c>
      <c r="I18" s="270">
        <f t="shared" si="11"/>
        <v>0.99960000000000004</v>
      </c>
      <c r="J18" s="204">
        <v>27</v>
      </c>
      <c r="K18" s="206">
        <f t="shared" si="6"/>
        <v>638.82000000000005</v>
      </c>
      <c r="L18" s="206">
        <f t="shared" ref="L18" si="12">TRUNC(E18*$J18,2)</f>
        <v>0</v>
      </c>
      <c r="M18" s="204">
        <f t="shared" si="4"/>
        <v>638.54999999999995</v>
      </c>
      <c r="N18" s="239">
        <f t="shared" si="7"/>
        <v>0.27</v>
      </c>
      <c r="O18" s="113"/>
      <c r="P18" s="113"/>
      <c r="Q18" s="193">
        <f t="shared" si="8"/>
        <v>0</v>
      </c>
      <c r="R18" s="194">
        <f t="shared" si="9"/>
        <v>0.01</v>
      </c>
      <c r="S18" s="193">
        <f t="shared" si="5"/>
        <v>23.65</v>
      </c>
      <c r="T18" s="141">
        <v>23.65</v>
      </c>
      <c r="U18" s="141"/>
      <c r="V18" s="141"/>
      <c r="W18" s="141"/>
      <c r="X18" s="141"/>
      <c r="Y18" s="142"/>
      <c r="Z18" s="278"/>
      <c r="AB18" s="280"/>
      <c r="AC18" s="144"/>
      <c r="AD18" s="144"/>
    </row>
    <row r="19" spans="1:30" s="143" customFormat="1" ht="30" x14ac:dyDescent="0.25">
      <c r="A19" s="238" t="s">
        <v>137</v>
      </c>
      <c r="B19" s="295" t="s">
        <v>131</v>
      </c>
      <c r="C19" s="137" t="s">
        <v>76</v>
      </c>
      <c r="D19" s="138">
        <v>3.46</v>
      </c>
      <c r="E19" s="138">
        <f>VLOOKUP(A19,'M. DE CÁLCULO'!$A$17:$N$843,12,0)</f>
        <v>0</v>
      </c>
      <c r="F19" s="139">
        <f t="shared" si="0"/>
        <v>3.46</v>
      </c>
      <c r="G19" s="140">
        <f>D19-F19</f>
        <v>0</v>
      </c>
      <c r="H19" s="273">
        <f t="shared" si="2"/>
        <v>0</v>
      </c>
      <c r="I19" s="270">
        <f t="shared" si="3"/>
        <v>1</v>
      </c>
      <c r="J19" s="204">
        <v>70.11</v>
      </c>
      <c r="K19" s="206">
        <f t="shared" si="6"/>
        <v>242.58</v>
      </c>
      <c r="L19" s="206">
        <f>TRUNC(E19*$J19,2)</f>
        <v>0</v>
      </c>
      <c r="M19" s="204">
        <f t="shared" si="4"/>
        <v>242.58</v>
      </c>
      <c r="N19" s="239">
        <f t="shared" si="7"/>
        <v>0</v>
      </c>
      <c r="O19" s="113"/>
      <c r="P19" s="113"/>
      <c r="Q19" s="193">
        <f t="shared" si="8"/>
        <v>0</v>
      </c>
      <c r="R19" s="194">
        <f t="shared" si="9"/>
        <v>0</v>
      </c>
      <c r="S19" s="193">
        <f t="shared" si="5"/>
        <v>3.46</v>
      </c>
      <c r="T19" s="141">
        <v>3.46</v>
      </c>
      <c r="U19" s="141"/>
      <c r="V19" s="141"/>
      <c r="W19" s="141"/>
      <c r="X19" s="141"/>
      <c r="Y19" s="142"/>
      <c r="Z19" s="278"/>
      <c r="AB19" s="280"/>
      <c r="AC19" s="144"/>
      <c r="AD19" s="144"/>
    </row>
    <row r="20" spans="1:30" s="143" customFormat="1" ht="30" x14ac:dyDescent="0.25">
      <c r="A20" s="238" t="s">
        <v>138</v>
      </c>
      <c r="B20" s="295" t="s">
        <v>132</v>
      </c>
      <c r="C20" s="137" t="s">
        <v>83</v>
      </c>
      <c r="D20" s="138">
        <v>3</v>
      </c>
      <c r="E20" s="208">
        <f>VLOOKUP(A20,'M. DE CÁLCULO'!$A$17:$N$843,12,0)</f>
        <v>0</v>
      </c>
      <c r="F20" s="194">
        <f t="shared" si="0"/>
        <v>3</v>
      </c>
      <c r="G20" s="209">
        <f>D20-F20</f>
        <v>0</v>
      </c>
      <c r="H20" s="274">
        <f t="shared" ref="H20" si="13">E20/D20</f>
        <v>0</v>
      </c>
      <c r="I20" s="217">
        <f t="shared" ref="I20" si="14">F20/D20</f>
        <v>1</v>
      </c>
      <c r="J20" s="204">
        <v>378.28</v>
      </c>
      <c r="K20" s="206">
        <f t="shared" si="6"/>
        <v>1134.8399999999999</v>
      </c>
      <c r="L20" s="206">
        <f t="shared" ref="L20:L40" si="15">TRUNC(E20*$J20,2)</f>
        <v>0</v>
      </c>
      <c r="M20" s="204">
        <f t="shared" si="4"/>
        <v>1134.8399999999999</v>
      </c>
      <c r="N20" s="239">
        <f t="shared" si="7"/>
        <v>0</v>
      </c>
      <c r="O20" s="113"/>
      <c r="P20" s="113"/>
      <c r="Q20" s="193"/>
      <c r="R20" s="194"/>
      <c r="S20" s="193">
        <f t="shared" si="5"/>
        <v>3</v>
      </c>
      <c r="T20" s="141">
        <v>3</v>
      </c>
      <c r="U20" s="141"/>
      <c r="V20" s="141"/>
      <c r="W20" s="141"/>
      <c r="X20" s="141"/>
      <c r="Y20" s="142"/>
      <c r="Z20" s="278"/>
      <c r="AB20" s="280"/>
      <c r="AC20" s="144"/>
      <c r="AD20" s="144"/>
    </row>
    <row r="21" spans="1:30" s="116" customFormat="1" x14ac:dyDescent="0.25">
      <c r="A21" s="117">
        <v>2</v>
      </c>
      <c r="B21" s="118" t="s">
        <v>86</v>
      </c>
      <c r="C21" s="119"/>
      <c r="D21" s="147"/>
      <c r="E21" s="148"/>
      <c r="F21" s="148"/>
      <c r="G21" s="148"/>
      <c r="H21" s="271"/>
      <c r="I21" s="271"/>
      <c r="J21" s="148"/>
      <c r="K21" s="205">
        <f>SUM(K22:K24)</f>
        <v>3292.14</v>
      </c>
      <c r="L21" s="205">
        <f>SUM(L22:L24)</f>
        <v>26.88</v>
      </c>
      <c r="M21" s="205">
        <f>SUM(M22:M24)</f>
        <v>3118.72</v>
      </c>
      <c r="N21" s="240">
        <f>SUM(N22:N24)</f>
        <v>173.42</v>
      </c>
      <c r="O21" s="113"/>
      <c r="P21" s="113"/>
      <c r="Q21" s="195"/>
      <c r="R21" s="196"/>
      <c r="S21" s="192"/>
      <c r="T21" s="120"/>
      <c r="U21" s="120"/>
      <c r="V21" s="120"/>
      <c r="W21" s="120"/>
      <c r="X21" s="115"/>
      <c r="Z21" s="277"/>
      <c r="AB21" s="280"/>
    </row>
    <row r="22" spans="1:30" s="143" customFormat="1" ht="34.5" customHeight="1" x14ac:dyDescent="0.25">
      <c r="A22" s="238" t="s">
        <v>139</v>
      </c>
      <c r="B22" s="299" t="s">
        <v>142</v>
      </c>
      <c r="C22" s="137" t="s">
        <v>76</v>
      </c>
      <c r="D22" s="138">
        <v>23.96</v>
      </c>
      <c r="E22" s="138">
        <f>VLOOKUP(A22,'M. DE CÁLCULO'!$A$17:$N$843,12,0)</f>
        <v>0</v>
      </c>
      <c r="F22" s="139">
        <f t="shared" ref="F22:F24" si="16">S22+E22</f>
        <v>23.76</v>
      </c>
      <c r="G22" s="140">
        <f t="shared" si="1"/>
        <v>0.2</v>
      </c>
      <c r="H22" s="273">
        <f t="shared" si="2"/>
        <v>0</v>
      </c>
      <c r="I22" s="270">
        <f t="shared" si="3"/>
        <v>0.99170000000000003</v>
      </c>
      <c r="J22" s="204">
        <v>114.43</v>
      </c>
      <c r="K22" s="206">
        <f t="shared" ref="K22:K27" si="17">D22*J22</f>
        <v>2741.74</v>
      </c>
      <c r="L22" s="206">
        <f t="shared" si="15"/>
        <v>0</v>
      </c>
      <c r="M22" s="204">
        <f t="shared" si="4"/>
        <v>2718.85</v>
      </c>
      <c r="N22" s="239">
        <f>K22-M22</f>
        <v>22.89</v>
      </c>
      <c r="O22" s="113"/>
      <c r="P22" s="113"/>
      <c r="Q22" s="141">
        <f t="shared" si="8"/>
        <v>0</v>
      </c>
      <c r="R22" s="139">
        <f t="shared" si="9"/>
        <v>0.2</v>
      </c>
      <c r="S22" s="141">
        <f t="shared" ref="S22:S24" si="18">SUM(T22:X22)</f>
        <v>23.76</v>
      </c>
      <c r="T22" s="141">
        <v>23.76</v>
      </c>
      <c r="U22" s="141"/>
      <c r="V22" s="141"/>
      <c r="W22" s="141"/>
      <c r="X22" s="141"/>
      <c r="Y22" s="142"/>
      <c r="Z22" s="278"/>
      <c r="AB22" s="280"/>
      <c r="AC22" s="144"/>
      <c r="AD22" s="144"/>
    </row>
    <row r="23" spans="1:30" s="143" customFormat="1" ht="30" x14ac:dyDescent="0.25">
      <c r="A23" s="238" t="s">
        <v>140</v>
      </c>
      <c r="B23" s="295" t="s">
        <v>143</v>
      </c>
      <c r="C23" s="137" t="s">
        <v>76</v>
      </c>
      <c r="D23" s="138">
        <v>0.9</v>
      </c>
      <c r="E23" s="138">
        <f>VLOOKUP(A23,'M. DE CÁLCULO'!$A$17:$N$843,12,0)</f>
        <v>0.2</v>
      </c>
      <c r="F23" s="139">
        <f t="shared" si="16"/>
        <v>0.9</v>
      </c>
      <c r="G23" s="140">
        <f t="shared" si="1"/>
        <v>0</v>
      </c>
      <c r="H23" s="273">
        <f t="shared" si="2"/>
        <v>0.22220000000000001</v>
      </c>
      <c r="I23" s="270">
        <f t="shared" si="3"/>
        <v>1</v>
      </c>
      <c r="J23" s="204">
        <v>134.41</v>
      </c>
      <c r="K23" s="206">
        <f>TRUNC(D23*J23,2)</f>
        <v>120.96</v>
      </c>
      <c r="L23" s="206">
        <f t="shared" si="15"/>
        <v>26.88</v>
      </c>
      <c r="M23" s="204">
        <f t="shared" si="4"/>
        <v>120.96</v>
      </c>
      <c r="N23" s="239">
        <f t="shared" ref="N23:N24" si="19">K23-M23</f>
        <v>0</v>
      </c>
      <c r="O23" s="113"/>
      <c r="P23" s="113"/>
      <c r="Q23" s="141">
        <f t="shared" si="8"/>
        <v>26.88</v>
      </c>
      <c r="R23" s="139">
        <f t="shared" si="9"/>
        <v>0</v>
      </c>
      <c r="S23" s="141">
        <f t="shared" si="18"/>
        <v>0.7</v>
      </c>
      <c r="T23" s="141">
        <v>0.7</v>
      </c>
      <c r="U23" s="141"/>
      <c r="V23" s="141"/>
      <c r="W23" s="141"/>
      <c r="X23" s="141"/>
      <c r="Y23" s="142"/>
      <c r="Z23" s="278"/>
      <c r="AB23" s="280"/>
      <c r="AC23" s="144"/>
      <c r="AD23" s="144"/>
    </row>
    <row r="24" spans="1:30" s="143" customFormat="1" ht="18" customHeight="1" x14ac:dyDescent="0.25">
      <c r="A24" s="238" t="s">
        <v>141</v>
      </c>
      <c r="B24" s="299" t="s">
        <v>144</v>
      </c>
      <c r="C24" s="137" t="s">
        <v>76</v>
      </c>
      <c r="D24" s="138">
        <v>16.09</v>
      </c>
      <c r="E24" s="138">
        <f>VLOOKUP(A24,'M. DE CÁLCULO'!$A$17:$N$843,12,0)</f>
        <v>0</v>
      </c>
      <c r="F24" s="139">
        <f t="shared" si="16"/>
        <v>10.45</v>
      </c>
      <c r="G24" s="140">
        <f t="shared" ref="G24" si="20">D24-F24</f>
        <v>5.64</v>
      </c>
      <c r="H24" s="273">
        <f t="shared" ref="H24" si="21">E24/D24</f>
        <v>0</v>
      </c>
      <c r="I24" s="270">
        <f t="shared" ref="I24" si="22">F24/D24</f>
        <v>0.64949999999999997</v>
      </c>
      <c r="J24" s="204">
        <v>26.69</v>
      </c>
      <c r="K24" s="206">
        <f t="shared" si="17"/>
        <v>429.44</v>
      </c>
      <c r="L24" s="206">
        <f t="shared" si="15"/>
        <v>0</v>
      </c>
      <c r="M24" s="204">
        <f t="shared" si="4"/>
        <v>278.91000000000003</v>
      </c>
      <c r="N24" s="239">
        <f t="shared" si="19"/>
        <v>150.53</v>
      </c>
      <c r="O24" s="113"/>
      <c r="P24" s="113"/>
      <c r="Q24" s="141">
        <f t="shared" si="8"/>
        <v>0</v>
      </c>
      <c r="R24" s="139">
        <f t="shared" si="9"/>
        <v>5.64</v>
      </c>
      <c r="S24" s="141">
        <f t="shared" si="18"/>
        <v>10.45</v>
      </c>
      <c r="T24" s="141">
        <v>10.45</v>
      </c>
      <c r="U24" s="141"/>
      <c r="V24" s="141"/>
      <c r="W24" s="141"/>
      <c r="X24" s="141"/>
      <c r="Y24" s="142"/>
      <c r="Z24" s="278"/>
      <c r="AB24" s="280"/>
      <c r="AC24" s="144"/>
      <c r="AD24" s="144"/>
    </row>
    <row r="25" spans="1:30" s="116" customFormat="1" x14ac:dyDescent="0.25">
      <c r="A25" s="117">
        <v>3</v>
      </c>
      <c r="B25" s="118" t="s">
        <v>125</v>
      </c>
      <c r="C25" s="119"/>
      <c r="D25" s="147"/>
      <c r="E25" s="148"/>
      <c r="F25" s="148"/>
      <c r="G25" s="148"/>
      <c r="H25" s="271"/>
      <c r="I25" s="271"/>
      <c r="J25" s="148"/>
      <c r="K25" s="205">
        <f>SUM(K26:K28)</f>
        <v>11915.13</v>
      </c>
      <c r="L25" s="205">
        <f>SUM(L26:L28)</f>
        <v>342.38</v>
      </c>
      <c r="M25" s="205">
        <f>SUM(M26:M28)</f>
        <v>11497.88</v>
      </c>
      <c r="N25" s="240">
        <f>SUM(N26:N28)</f>
        <v>417.25</v>
      </c>
      <c r="O25" s="113"/>
      <c r="P25" s="113"/>
      <c r="Q25" s="195"/>
      <c r="R25" s="196"/>
      <c r="S25" s="192"/>
      <c r="T25" s="120"/>
      <c r="U25" s="120"/>
      <c r="V25" s="120"/>
      <c r="W25" s="120"/>
      <c r="X25" s="115"/>
      <c r="Z25" s="277"/>
      <c r="AB25" s="280"/>
    </row>
    <row r="26" spans="1:30" s="143" customFormat="1" ht="30" x14ac:dyDescent="0.25">
      <c r="A26" s="238" t="s">
        <v>145</v>
      </c>
      <c r="B26" s="295" t="s">
        <v>95</v>
      </c>
      <c r="C26" s="137" t="s">
        <v>75</v>
      </c>
      <c r="D26" s="138">
        <v>14</v>
      </c>
      <c r="E26" s="138">
        <f>VLOOKUP(A26,'M. DE CÁLCULO'!$A$17:$N$843,12,0)</f>
        <v>0</v>
      </c>
      <c r="F26" s="139">
        <f t="shared" ref="F26:F28" si="23">S26+E26</f>
        <v>14</v>
      </c>
      <c r="G26" s="140">
        <f t="shared" si="1"/>
        <v>0</v>
      </c>
      <c r="H26" s="273">
        <f t="shared" si="2"/>
        <v>0</v>
      </c>
      <c r="I26" s="270">
        <f t="shared" si="3"/>
        <v>1</v>
      </c>
      <c r="J26" s="204">
        <v>45.46</v>
      </c>
      <c r="K26" s="206">
        <f t="shared" si="17"/>
        <v>636.44000000000005</v>
      </c>
      <c r="L26" s="206">
        <f t="shared" si="15"/>
        <v>0</v>
      </c>
      <c r="M26" s="204">
        <f t="shared" si="4"/>
        <v>636.44000000000005</v>
      </c>
      <c r="N26" s="239">
        <f>K26-M26</f>
        <v>0</v>
      </c>
      <c r="O26" s="113"/>
      <c r="P26" s="113"/>
      <c r="Q26" s="193">
        <f t="shared" si="8"/>
        <v>0</v>
      </c>
      <c r="R26" s="194">
        <f t="shared" si="9"/>
        <v>0</v>
      </c>
      <c r="S26" s="193">
        <f t="shared" ref="S26:S28" si="24">SUM(T26:X26)</f>
        <v>14</v>
      </c>
      <c r="T26" s="141">
        <v>14</v>
      </c>
      <c r="U26" s="141"/>
      <c r="V26" s="141"/>
      <c r="W26" s="141"/>
      <c r="X26" s="141"/>
      <c r="Y26" s="142"/>
      <c r="Z26" s="278"/>
      <c r="AB26" s="280"/>
      <c r="AC26" s="144"/>
      <c r="AD26" s="144"/>
    </row>
    <row r="27" spans="1:30" s="143" customFormat="1" ht="45" x14ac:dyDescent="0.25">
      <c r="A27" s="238" t="s">
        <v>146</v>
      </c>
      <c r="B27" s="295" t="s">
        <v>148</v>
      </c>
      <c r="C27" s="137" t="s">
        <v>75</v>
      </c>
      <c r="D27" s="138">
        <v>35.840000000000003</v>
      </c>
      <c r="E27" s="138">
        <f>VLOOKUP(A27,'M. DE CÁLCULO'!$A$17:$N$843,12,0)</f>
        <v>2.08</v>
      </c>
      <c r="F27" s="139">
        <f t="shared" si="23"/>
        <v>34.08</v>
      </c>
      <c r="G27" s="140">
        <f t="shared" si="1"/>
        <v>1.76</v>
      </c>
      <c r="H27" s="273">
        <f t="shared" si="2"/>
        <v>5.8000000000000003E-2</v>
      </c>
      <c r="I27" s="270">
        <f t="shared" si="3"/>
        <v>0.95089999999999997</v>
      </c>
      <c r="J27" s="204">
        <v>164.61</v>
      </c>
      <c r="K27" s="206">
        <f t="shared" si="17"/>
        <v>5899.62</v>
      </c>
      <c r="L27" s="206">
        <f t="shared" si="15"/>
        <v>342.38</v>
      </c>
      <c r="M27" s="204">
        <f t="shared" si="4"/>
        <v>5609.9</v>
      </c>
      <c r="N27" s="239">
        <f t="shared" ref="N27:N28" si="25">K27-M27</f>
        <v>289.72000000000003</v>
      </c>
      <c r="O27" s="113"/>
      <c r="P27" s="113"/>
      <c r="Q27" s="193">
        <f t="shared" si="8"/>
        <v>342.38</v>
      </c>
      <c r="R27" s="194">
        <f t="shared" si="9"/>
        <v>1.76</v>
      </c>
      <c r="S27" s="193">
        <f t="shared" si="24"/>
        <v>32</v>
      </c>
      <c r="T27" s="141">
        <v>32</v>
      </c>
      <c r="U27" s="141"/>
      <c r="V27" s="141"/>
      <c r="W27" s="141"/>
      <c r="X27" s="141"/>
      <c r="Y27" s="142"/>
      <c r="Z27" s="278"/>
      <c r="AB27" s="280"/>
      <c r="AC27" s="144"/>
      <c r="AD27" s="144"/>
    </row>
    <row r="28" spans="1:30" s="143" customFormat="1" ht="30" x14ac:dyDescent="0.25">
      <c r="A28" s="238" t="s">
        <v>147</v>
      </c>
      <c r="B28" s="295" t="s">
        <v>149</v>
      </c>
      <c r="C28" s="137" t="s">
        <v>76</v>
      </c>
      <c r="D28" s="138">
        <v>7.17</v>
      </c>
      <c r="E28" s="138">
        <f>VLOOKUP(A28,'M. DE CÁLCULO'!$A$17:$N$843,12,0)</f>
        <v>0</v>
      </c>
      <c r="F28" s="139">
        <f t="shared" si="23"/>
        <v>7</v>
      </c>
      <c r="G28" s="140">
        <f t="shared" si="1"/>
        <v>0.17</v>
      </c>
      <c r="H28" s="273">
        <f t="shared" si="2"/>
        <v>0</v>
      </c>
      <c r="I28" s="270">
        <f t="shared" si="3"/>
        <v>0.97629999999999995</v>
      </c>
      <c r="J28" s="204">
        <v>750.22</v>
      </c>
      <c r="K28" s="206">
        <f>TRUNC(D28*J28,2)</f>
        <v>5379.07</v>
      </c>
      <c r="L28" s="206">
        <f t="shared" si="15"/>
        <v>0</v>
      </c>
      <c r="M28" s="204">
        <f t="shared" si="4"/>
        <v>5251.54</v>
      </c>
      <c r="N28" s="239">
        <f t="shared" si="25"/>
        <v>127.53</v>
      </c>
      <c r="O28" s="113"/>
      <c r="P28" s="113"/>
      <c r="Q28" s="193">
        <f t="shared" si="8"/>
        <v>0</v>
      </c>
      <c r="R28" s="194">
        <f t="shared" si="9"/>
        <v>0.17</v>
      </c>
      <c r="S28" s="193">
        <f t="shared" si="24"/>
        <v>7</v>
      </c>
      <c r="T28" s="141">
        <v>7</v>
      </c>
      <c r="U28" s="141"/>
      <c r="V28" s="141"/>
      <c r="W28" s="141"/>
      <c r="X28" s="141"/>
      <c r="Y28" s="142"/>
      <c r="Z28" s="278"/>
      <c r="AB28" s="280"/>
      <c r="AC28" s="144"/>
      <c r="AD28" s="144"/>
    </row>
    <row r="29" spans="1:30" s="116" customFormat="1" x14ac:dyDescent="0.25">
      <c r="A29" s="117">
        <v>4</v>
      </c>
      <c r="B29" s="118" t="s">
        <v>82</v>
      </c>
      <c r="C29" s="119"/>
      <c r="D29" s="147"/>
      <c r="E29" s="148"/>
      <c r="F29" s="148"/>
      <c r="G29" s="148"/>
      <c r="H29" s="271"/>
      <c r="I29" s="271"/>
      <c r="J29" s="148"/>
      <c r="K29" s="205">
        <f>SUM(K30:K31)</f>
        <v>194187.12</v>
      </c>
      <c r="L29" s="205">
        <f>SUM(L30:L31)</f>
        <v>115035.58</v>
      </c>
      <c r="M29" s="205">
        <f>SUM(M30:M31)</f>
        <v>160136.01999999999</v>
      </c>
      <c r="N29" s="240">
        <f>SUM(N30:N31)</f>
        <v>34051.1</v>
      </c>
      <c r="O29" s="113"/>
      <c r="P29" s="113"/>
      <c r="Q29" s="195"/>
      <c r="R29" s="196"/>
      <c r="S29" s="192"/>
      <c r="T29" s="120"/>
      <c r="U29" s="120"/>
      <c r="V29" s="120"/>
      <c r="W29" s="120"/>
      <c r="X29" s="115"/>
      <c r="Z29" s="277"/>
      <c r="AB29" s="280"/>
    </row>
    <row r="30" spans="1:30" s="143" customFormat="1" ht="60" x14ac:dyDescent="0.25">
      <c r="A30" s="281" t="s">
        <v>150</v>
      </c>
      <c r="B30" s="295" t="s">
        <v>152</v>
      </c>
      <c r="C30" s="137" t="s">
        <v>75</v>
      </c>
      <c r="D30" s="138">
        <v>657</v>
      </c>
      <c r="E30" s="138">
        <f>VLOOKUP(A30,'M. DE CÁLCULO'!$A$17:$N$843,12,0)</f>
        <v>504.14</v>
      </c>
      <c r="F30" s="139">
        <f t="shared" ref="F30:F31" si="26">S30+E30</f>
        <v>504.14</v>
      </c>
      <c r="G30" s="140">
        <f t="shared" si="1"/>
        <v>152.86000000000001</v>
      </c>
      <c r="H30" s="273">
        <f t="shared" si="2"/>
        <v>0.76729999999999998</v>
      </c>
      <c r="I30" s="270">
        <f t="shared" si="3"/>
        <v>0.76729999999999998</v>
      </c>
      <c r="J30" s="206">
        <v>222.76</v>
      </c>
      <c r="K30" s="206">
        <f t="shared" ref="K30" si="27">TRUNC(D30*J30,2)</f>
        <v>146353.32</v>
      </c>
      <c r="L30" s="206">
        <f t="shared" ref="L30:M31" si="28">TRUNC(E30*$J30,2)</f>
        <v>112302.22</v>
      </c>
      <c r="M30" s="204">
        <f t="shared" si="28"/>
        <v>112302.22</v>
      </c>
      <c r="N30" s="239">
        <f>K30-M30</f>
        <v>34051.1</v>
      </c>
      <c r="O30" s="113"/>
      <c r="P30" s="113"/>
      <c r="Q30" s="193">
        <f t="shared" si="8"/>
        <v>112302.22</v>
      </c>
      <c r="R30" s="194">
        <f t="shared" si="9"/>
        <v>152.86000000000001</v>
      </c>
      <c r="S30" s="193">
        <f t="shared" ref="S30:S31" si="29">SUM(T30:X30)</f>
        <v>0</v>
      </c>
      <c r="T30" s="141">
        <v>0</v>
      </c>
      <c r="U30" s="141"/>
      <c r="V30" s="141"/>
      <c r="W30" s="141"/>
      <c r="X30" s="141"/>
      <c r="Y30" s="142"/>
      <c r="Z30" s="278"/>
      <c r="AB30" s="280"/>
      <c r="AC30" s="144"/>
      <c r="AD30" s="144"/>
    </row>
    <row r="31" spans="1:30" s="143" customFormat="1" ht="62.25" customHeight="1" x14ac:dyDescent="0.25">
      <c r="A31" s="238" t="s">
        <v>151</v>
      </c>
      <c r="B31" s="299" t="s">
        <v>153</v>
      </c>
      <c r="C31" s="137" t="s">
        <v>77</v>
      </c>
      <c r="D31" s="138">
        <v>70</v>
      </c>
      <c r="E31" s="138">
        <f>VLOOKUP(A31,'M. DE CÁLCULO'!$A$17:$N$843,12,0)</f>
        <v>4</v>
      </c>
      <c r="F31" s="139">
        <f t="shared" si="26"/>
        <v>70</v>
      </c>
      <c r="G31" s="140">
        <f t="shared" si="1"/>
        <v>0</v>
      </c>
      <c r="H31" s="273">
        <f t="shared" si="2"/>
        <v>5.7099999999999998E-2</v>
      </c>
      <c r="I31" s="270">
        <f t="shared" si="3"/>
        <v>1</v>
      </c>
      <c r="J31" s="206">
        <v>683.34</v>
      </c>
      <c r="K31" s="206">
        <f>TRUNC(D31*J31,2)</f>
        <v>47833.8</v>
      </c>
      <c r="L31" s="206">
        <f t="shared" si="28"/>
        <v>2733.36</v>
      </c>
      <c r="M31" s="204">
        <f t="shared" si="28"/>
        <v>47833.8</v>
      </c>
      <c r="N31" s="239">
        <f>K31-M31</f>
        <v>0</v>
      </c>
      <c r="O31" s="113"/>
      <c r="P31" s="113"/>
      <c r="Q31" s="193">
        <f t="shared" si="8"/>
        <v>2733.36</v>
      </c>
      <c r="R31" s="194">
        <f t="shared" si="9"/>
        <v>0</v>
      </c>
      <c r="S31" s="193">
        <f t="shared" si="29"/>
        <v>66</v>
      </c>
      <c r="T31" s="141">
        <v>66</v>
      </c>
      <c r="U31" s="141"/>
      <c r="V31" s="141"/>
      <c r="W31" s="141"/>
      <c r="X31" s="141"/>
      <c r="Y31" s="142"/>
      <c r="Z31" s="278"/>
      <c r="AB31" s="280"/>
      <c r="AC31" s="144"/>
      <c r="AD31" s="144"/>
    </row>
    <row r="32" spans="1:30" s="116" customFormat="1" x14ac:dyDescent="0.25">
      <c r="A32" s="117">
        <v>5</v>
      </c>
      <c r="B32" s="118" t="s">
        <v>154</v>
      </c>
      <c r="C32" s="119"/>
      <c r="D32" s="147"/>
      <c r="E32" s="148"/>
      <c r="F32" s="148"/>
      <c r="G32" s="148"/>
      <c r="H32" s="271"/>
      <c r="I32" s="271"/>
      <c r="J32" s="148"/>
      <c r="K32" s="205">
        <f>SUM(K33:K33)</f>
        <v>4140.29</v>
      </c>
      <c r="L32" s="205">
        <f>SUM(L33:L33)</f>
        <v>303.82</v>
      </c>
      <c r="M32" s="205">
        <f>SUM(M33:M33)</f>
        <v>4129.08</v>
      </c>
      <c r="N32" s="240">
        <f>SUM(N33:N33)</f>
        <v>11.21</v>
      </c>
      <c r="O32" s="113"/>
      <c r="P32" s="113"/>
      <c r="Q32" s="195"/>
      <c r="R32" s="196"/>
      <c r="S32" s="192"/>
      <c r="T32" s="120"/>
      <c r="U32" s="120"/>
      <c r="V32" s="120"/>
      <c r="W32" s="120"/>
      <c r="X32" s="115"/>
      <c r="Z32" s="277"/>
      <c r="AB32" s="280"/>
    </row>
    <row r="33" spans="1:30" s="143" customFormat="1" ht="60" x14ac:dyDescent="0.25">
      <c r="A33" s="238" t="s">
        <v>155</v>
      </c>
      <c r="B33" s="295" t="s">
        <v>156</v>
      </c>
      <c r="C33" s="137" t="s">
        <v>75</v>
      </c>
      <c r="D33" s="138">
        <v>33.25</v>
      </c>
      <c r="E33" s="138">
        <f>VLOOKUP(A33,'M. DE CÁLCULO'!$A$17:$N$843,12,0)</f>
        <v>2.44</v>
      </c>
      <c r="F33" s="139">
        <f>S33+E33</f>
        <v>33.159999999999997</v>
      </c>
      <c r="G33" s="140">
        <f t="shared" si="1"/>
        <v>0.09</v>
      </c>
      <c r="H33" s="273">
        <f t="shared" si="2"/>
        <v>7.3400000000000007E-2</v>
      </c>
      <c r="I33" s="270">
        <f t="shared" si="3"/>
        <v>0.99729999999999996</v>
      </c>
      <c r="J33" s="206">
        <v>124.52</v>
      </c>
      <c r="K33" s="206">
        <f>TRUNC(D33*J33,2)</f>
        <v>4140.29</v>
      </c>
      <c r="L33" s="206">
        <f t="shared" ref="L33:M33" si="30">TRUNC(E33*$J33,2)</f>
        <v>303.82</v>
      </c>
      <c r="M33" s="204">
        <f t="shared" si="30"/>
        <v>4129.08</v>
      </c>
      <c r="N33" s="239">
        <f>K33-M33</f>
        <v>11.21</v>
      </c>
      <c r="O33" s="113"/>
      <c r="P33" s="113"/>
      <c r="Q33" s="193">
        <f t="shared" si="8"/>
        <v>303.82</v>
      </c>
      <c r="R33" s="194">
        <f t="shared" si="9"/>
        <v>0.09</v>
      </c>
      <c r="S33" s="193">
        <f>SUM(T33:X33)</f>
        <v>30.72</v>
      </c>
      <c r="T33" s="141">
        <v>30.72</v>
      </c>
      <c r="U33" s="141"/>
      <c r="V33" s="141"/>
      <c r="W33" s="141"/>
      <c r="X33" s="141"/>
      <c r="Y33" s="142"/>
      <c r="Z33" s="278"/>
      <c r="AB33" s="280"/>
      <c r="AC33" s="144"/>
      <c r="AD33" s="144"/>
    </row>
    <row r="34" spans="1:30" s="116" customFormat="1" x14ac:dyDescent="0.25">
      <c r="A34" s="117">
        <v>6</v>
      </c>
      <c r="B34" s="118" t="s">
        <v>78</v>
      </c>
      <c r="C34" s="119"/>
      <c r="D34" s="147"/>
      <c r="E34" s="148"/>
      <c r="F34" s="148"/>
      <c r="G34" s="148"/>
      <c r="H34" s="271"/>
      <c r="I34" s="271"/>
      <c r="J34" s="148"/>
      <c r="K34" s="205">
        <f>SUM(K35:K35)</f>
        <v>53217</v>
      </c>
      <c r="L34" s="205">
        <f>SUM(L35:L35)</f>
        <v>0</v>
      </c>
      <c r="M34" s="205">
        <f>SUM(M35:M35)</f>
        <v>0</v>
      </c>
      <c r="N34" s="240">
        <f>SUM(N35:N35)</f>
        <v>53217</v>
      </c>
      <c r="O34" s="113"/>
      <c r="P34" s="113"/>
      <c r="Q34" s="195"/>
      <c r="R34" s="196"/>
      <c r="S34" s="192"/>
      <c r="T34" s="120"/>
      <c r="U34" s="120"/>
      <c r="V34" s="120"/>
      <c r="W34" s="120"/>
      <c r="X34" s="115"/>
      <c r="Z34" s="277"/>
      <c r="AB34" s="280"/>
    </row>
    <row r="35" spans="1:30" s="143" customFormat="1" ht="30" x14ac:dyDescent="0.25">
      <c r="A35" s="238" t="s">
        <v>157</v>
      </c>
      <c r="B35" s="295" t="s">
        <v>158</v>
      </c>
      <c r="C35" s="137" t="s">
        <v>75</v>
      </c>
      <c r="D35" s="138">
        <v>657</v>
      </c>
      <c r="E35" s="138">
        <f>VLOOKUP(A35,'M. DE CÁLCULO'!$A$17:$N$843,12,0)</f>
        <v>0</v>
      </c>
      <c r="F35" s="139">
        <f>S35+E35</f>
        <v>0</v>
      </c>
      <c r="G35" s="140">
        <f t="shared" si="1"/>
        <v>657</v>
      </c>
      <c r="H35" s="273">
        <f t="shared" si="2"/>
        <v>0</v>
      </c>
      <c r="I35" s="270">
        <f t="shared" si="3"/>
        <v>0</v>
      </c>
      <c r="J35" s="206">
        <v>81</v>
      </c>
      <c r="K35" s="206">
        <f>TRUNC(D35*J35,2)</f>
        <v>53217</v>
      </c>
      <c r="L35" s="206">
        <f t="shared" ref="L35:M35" si="31">TRUNC(E35*$J35,2)</f>
        <v>0</v>
      </c>
      <c r="M35" s="204">
        <f t="shared" si="31"/>
        <v>0</v>
      </c>
      <c r="N35" s="239">
        <f>K35-M35</f>
        <v>53217</v>
      </c>
      <c r="O35" s="113"/>
      <c r="P35" s="113"/>
      <c r="Q35" s="193">
        <f t="shared" si="8"/>
        <v>0</v>
      </c>
      <c r="R35" s="194">
        <f t="shared" si="9"/>
        <v>657</v>
      </c>
      <c r="S35" s="193">
        <f>SUM(T35:X35)</f>
        <v>0</v>
      </c>
      <c r="T35" s="141">
        <v>0</v>
      </c>
      <c r="U35" s="141"/>
      <c r="V35" s="141"/>
      <c r="W35" s="141"/>
      <c r="X35" s="141"/>
      <c r="Y35" s="142"/>
      <c r="Z35" s="278"/>
      <c r="AB35" s="280"/>
      <c r="AC35" s="144"/>
      <c r="AD35" s="144"/>
    </row>
    <row r="36" spans="1:30" s="116" customFormat="1" x14ac:dyDescent="0.25">
      <c r="A36" s="117">
        <v>7</v>
      </c>
      <c r="B36" s="118" t="s">
        <v>98</v>
      </c>
      <c r="C36" s="119"/>
      <c r="D36" s="147"/>
      <c r="E36" s="148"/>
      <c r="F36" s="148"/>
      <c r="G36" s="148"/>
      <c r="H36" s="271"/>
      <c r="I36" s="271"/>
      <c r="J36" s="148"/>
      <c r="K36" s="205">
        <f>SUM(K37:K50)</f>
        <v>18336.48</v>
      </c>
      <c r="L36" s="205">
        <f>SUM(L37:L50)</f>
        <v>0</v>
      </c>
      <c r="M36" s="205">
        <f>SUM(M37:M50)</f>
        <v>0</v>
      </c>
      <c r="N36" s="240">
        <f>SUM(N37:N50)</f>
        <v>18336.48</v>
      </c>
      <c r="O36" s="113"/>
      <c r="P36" s="113"/>
      <c r="Q36" s="195"/>
      <c r="R36" s="196"/>
      <c r="S36" s="192"/>
      <c r="T36" s="120"/>
      <c r="U36" s="120"/>
      <c r="V36" s="120"/>
      <c r="W36" s="120"/>
      <c r="X36" s="115"/>
      <c r="Z36" s="277"/>
      <c r="AB36" s="280"/>
    </row>
    <row r="37" spans="1:30" s="211" customFormat="1" ht="30" x14ac:dyDescent="0.25">
      <c r="A37" s="241" t="s">
        <v>167</v>
      </c>
      <c r="B37" s="294" t="s">
        <v>213</v>
      </c>
      <c r="C37" s="137" t="s">
        <v>74</v>
      </c>
      <c r="D37" s="138">
        <v>30</v>
      </c>
      <c r="E37" s="208">
        <f>VLOOKUP(A37,'M. DE CÁLCULO'!$A$17:$N$843,12,0)</f>
        <v>0</v>
      </c>
      <c r="F37" s="194">
        <f>S37+E37</f>
        <v>0</v>
      </c>
      <c r="G37" s="209">
        <f t="shared" si="1"/>
        <v>30</v>
      </c>
      <c r="H37" s="274">
        <f t="shared" si="2"/>
        <v>0</v>
      </c>
      <c r="I37" s="217">
        <f t="shared" si="3"/>
        <v>0</v>
      </c>
      <c r="J37" s="206">
        <v>93.45</v>
      </c>
      <c r="K37" s="206">
        <f>D37*J37</f>
        <v>2803.5</v>
      </c>
      <c r="L37" s="206">
        <f t="shared" si="15"/>
        <v>0</v>
      </c>
      <c r="M37" s="204">
        <f t="shared" si="4"/>
        <v>0</v>
      </c>
      <c r="N37" s="239">
        <f>K37-M37</f>
        <v>2803.5</v>
      </c>
      <c r="O37" s="113"/>
      <c r="P37" s="113"/>
      <c r="Q37" s="193">
        <f t="shared" si="8"/>
        <v>0</v>
      </c>
      <c r="R37" s="194">
        <f t="shared" si="9"/>
        <v>30</v>
      </c>
      <c r="S37" s="193">
        <f>SUM(T37:X37)</f>
        <v>0</v>
      </c>
      <c r="T37" s="193">
        <v>0</v>
      </c>
      <c r="U37" s="193"/>
      <c r="V37" s="193"/>
      <c r="W37" s="193"/>
      <c r="X37" s="193"/>
      <c r="Y37" s="210"/>
      <c r="Z37" s="279"/>
      <c r="AB37" s="280"/>
      <c r="AC37" s="212"/>
      <c r="AD37" s="212"/>
    </row>
    <row r="38" spans="1:30" s="211" customFormat="1" ht="30" x14ac:dyDescent="0.25">
      <c r="A38" s="241" t="s">
        <v>168</v>
      </c>
      <c r="B38" s="294" t="s">
        <v>214</v>
      </c>
      <c r="C38" s="137" t="s">
        <v>77</v>
      </c>
      <c r="D38" s="138">
        <v>200</v>
      </c>
      <c r="E38" s="208">
        <f>VLOOKUP(A38,'M. DE CÁLCULO'!$A$17:$N$843,12,0)</f>
        <v>0</v>
      </c>
      <c r="F38" s="194">
        <f>S38+E38</f>
        <v>0</v>
      </c>
      <c r="G38" s="209">
        <f t="shared" si="1"/>
        <v>200</v>
      </c>
      <c r="H38" s="274">
        <f t="shared" si="2"/>
        <v>0</v>
      </c>
      <c r="I38" s="217">
        <f t="shared" si="3"/>
        <v>0</v>
      </c>
      <c r="J38" s="206">
        <v>29.89</v>
      </c>
      <c r="K38" s="206">
        <f t="shared" ref="K38:K50" si="32">D38*J38</f>
        <v>5978</v>
      </c>
      <c r="L38" s="206">
        <f t="shared" si="15"/>
        <v>0</v>
      </c>
      <c r="M38" s="204">
        <f t="shared" si="4"/>
        <v>0</v>
      </c>
      <c r="N38" s="239">
        <f t="shared" ref="N38:N50" si="33">K38-M38</f>
        <v>5978</v>
      </c>
      <c r="O38" s="113"/>
      <c r="P38" s="113"/>
      <c r="Q38" s="193">
        <f t="shared" si="8"/>
        <v>0</v>
      </c>
      <c r="R38" s="194">
        <f t="shared" si="9"/>
        <v>200</v>
      </c>
      <c r="S38" s="193">
        <f>SUM(T38:X38)</f>
        <v>0</v>
      </c>
      <c r="T38" s="193">
        <v>0</v>
      </c>
      <c r="U38" s="193"/>
      <c r="V38" s="193"/>
      <c r="W38" s="193"/>
      <c r="X38" s="193"/>
      <c r="Y38" s="210"/>
      <c r="Z38" s="279"/>
      <c r="AB38" s="280"/>
      <c r="AC38" s="212"/>
      <c r="AD38" s="212"/>
    </row>
    <row r="39" spans="1:30" s="211" customFormat="1" ht="30" x14ac:dyDescent="0.25">
      <c r="A39" s="241" t="s">
        <v>169</v>
      </c>
      <c r="B39" s="294" t="s">
        <v>215</v>
      </c>
      <c r="C39" s="137" t="s">
        <v>74</v>
      </c>
      <c r="D39" s="138">
        <v>10</v>
      </c>
      <c r="E39" s="208">
        <f>VLOOKUP(A39,'M. DE CÁLCULO'!$A$17:$N$843,12,0)</f>
        <v>0</v>
      </c>
      <c r="F39" s="194">
        <f>S39+E39</f>
        <v>0</v>
      </c>
      <c r="G39" s="209">
        <f t="shared" si="1"/>
        <v>10</v>
      </c>
      <c r="H39" s="274">
        <f t="shared" si="2"/>
        <v>0</v>
      </c>
      <c r="I39" s="217">
        <f t="shared" si="3"/>
        <v>0</v>
      </c>
      <c r="J39" s="206">
        <v>23.71</v>
      </c>
      <c r="K39" s="206">
        <f t="shared" si="32"/>
        <v>237.1</v>
      </c>
      <c r="L39" s="206">
        <f t="shared" si="15"/>
        <v>0</v>
      </c>
      <c r="M39" s="204">
        <f t="shared" si="4"/>
        <v>0</v>
      </c>
      <c r="N39" s="239">
        <f t="shared" si="33"/>
        <v>237.1</v>
      </c>
      <c r="O39" s="113"/>
      <c r="P39" s="113"/>
      <c r="Q39" s="193">
        <f t="shared" si="8"/>
        <v>0</v>
      </c>
      <c r="R39" s="194">
        <f t="shared" si="9"/>
        <v>10</v>
      </c>
      <c r="S39" s="193">
        <f>SUM(T39:X39)</f>
        <v>0</v>
      </c>
      <c r="T39" s="193">
        <v>0</v>
      </c>
      <c r="U39" s="193"/>
      <c r="V39" s="193"/>
      <c r="W39" s="193"/>
      <c r="X39" s="193"/>
      <c r="Y39" s="210"/>
      <c r="Z39" s="279"/>
      <c r="AB39" s="280"/>
      <c r="AC39" s="212"/>
      <c r="AD39" s="212"/>
    </row>
    <row r="40" spans="1:30" s="211" customFormat="1" ht="45" x14ac:dyDescent="0.25">
      <c r="A40" s="241" t="s">
        <v>170</v>
      </c>
      <c r="B40" s="294" t="s">
        <v>216</v>
      </c>
      <c r="C40" s="137" t="s">
        <v>74</v>
      </c>
      <c r="D40" s="138">
        <v>21</v>
      </c>
      <c r="E40" s="208">
        <f>VLOOKUP(A40,'M. DE CÁLCULO'!$A$17:$N$843,12,0)</f>
        <v>0</v>
      </c>
      <c r="F40" s="194">
        <f>S40+E40</f>
        <v>0</v>
      </c>
      <c r="G40" s="209">
        <f t="shared" si="1"/>
        <v>21</v>
      </c>
      <c r="H40" s="274">
        <f t="shared" si="2"/>
        <v>0</v>
      </c>
      <c r="I40" s="217">
        <f t="shared" si="3"/>
        <v>0</v>
      </c>
      <c r="J40" s="206">
        <v>37.26</v>
      </c>
      <c r="K40" s="206">
        <f t="shared" si="32"/>
        <v>782.46</v>
      </c>
      <c r="L40" s="206">
        <f t="shared" si="15"/>
        <v>0</v>
      </c>
      <c r="M40" s="204">
        <f t="shared" si="4"/>
        <v>0</v>
      </c>
      <c r="N40" s="239">
        <f t="shared" si="33"/>
        <v>782.46</v>
      </c>
      <c r="O40" s="113"/>
      <c r="P40" s="113"/>
      <c r="Q40" s="193">
        <f t="shared" si="8"/>
        <v>0</v>
      </c>
      <c r="R40" s="194">
        <f t="shared" si="9"/>
        <v>21</v>
      </c>
      <c r="S40" s="193">
        <f>SUM(T40:X40)</f>
        <v>0</v>
      </c>
      <c r="T40" s="193">
        <v>0</v>
      </c>
      <c r="U40" s="193"/>
      <c r="V40" s="193"/>
      <c r="W40" s="193"/>
      <c r="X40" s="193"/>
      <c r="Y40" s="210"/>
      <c r="Z40" s="279"/>
      <c r="AB40" s="280"/>
      <c r="AC40" s="212"/>
      <c r="AD40" s="212"/>
    </row>
    <row r="41" spans="1:30" s="211" customFormat="1" ht="45" x14ac:dyDescent="0.25">
      <c r="A41" s="241" t="s">
        <v>171</v>
      </c>
      <c r="B41" s="294" t="s">
        <v>159</v>
      </c>
      <c r="C41" s="137" t="s">
        <v>74</v>
      </c>
      <c r="D41" s="138">
        <v>3</v>
      </c>
      <c r="E41" s="208">
        <f>VLOOKUP(A41,'M. DE CÁLCULO'!$A$17:$N$843,12,0)</f>
        <v>0</v>
      </c>
      <c r="F41" s="194">
        <f t="shared" ref="F41:F50" si="34">S41+E41</f>
        <v>0</v>
      </c>
      <c r="G41" s="209">
        <f t="shared" ref="G41:G50" si="35">D41-F41</f>
        <v>3</v>
      </c>
      <c r="H41" s="274">
        <f t="shared" ref="H41:H50" si="36">E41/D41</f>
        <v>0</v>
      </c>
      <c r="I41" s="217">
        <f t="shared" ref="I41:I50" si="37">F41/D41</f>
        <v>0</v>
      </c>
      <c r="J41" s="213">
        <v>30.4</v>
      </c>
      <c r="K41" s="213">
        <f t="shared" si="32"/>
        <v>91.2</v>
      </c>
      <c r="L41" s="213">
        <f t="shared" ref="L41:L50" si="38">TRUNC(E41*$J41,2)</f>
        <v>0</v>
      </c>
      <c r="M41" s="214">
        <f t="shared" si="4"/>
        <v>0</v>
      </c>
      <c r="N41" s="239">
        <f t="shared" si="33"/>
        <v>91.2</v>
      </c>
      <c r="O41" s="113"/>
      <c r="P41" s="113"/>
      <c r="Q41" s="193"/>
      <c r="R41" s="194"/>
      <c r="S41" s="193"/>
      <c r="T41" s="193">
        <v>0</v>
      </c>
      <c r="U41" s="193"/>
      <c r="V41" s="193"/>
      <c r="W41" s="193"/>
      <c r="X41" s="193"/>
      <c r="Y41" s="210"/>
      <c r="Z41" s="279"/>
      <c r="AB41" s="280"/>
      <c r="AC41" s="212"/>
      <c r="AD41" s="212"/>
    </row>
    <row r="42" spans="1:30" s="211" customFormat="1" ht="45" x14ac:dyDescent="0.25">
      <c r="A42" s="241" t="s">
        <v>172</v>
      </c>
      <c r="B42" s="294" t="s">
        <v>160</v>
      </c>
      <c r="C42" s="137" t="s">
        <v>74</v>
      </c>
      <c r="D42" s="138">
        <v>3</v>
      </c>
      <c r="E42" s="208">
        <f>VLOOKUP(A42,'M. DE CÁLCULO'!$A$17:$N$843,12,0)</f>
        <v>0</v>
      </c>
      <c r="F42" s="194">
        <f t="shared" si="34"/>
        <v>0</v>
      </c>
      <c r="G42" s="209">
        <f t="shared" si="35"/>
        <v>3</v>
      </c>
      <c r="H42" s="274">
        <f t="shared" si="36"/>
        <v>0</v>
      </c>
      <c r="I42" s="217">
        <f t="shared" si="37"/>
        <v>0</v>
      </c>
      <c r="J42" s="213">
        <v>52.31</v>
      </c>
      <c r="K42" s="213">
        <f t="shared" si="32"/>
        <v>156.93</v>
      </c>
      <c r="L42" s="213">
        <f t="shared" si="38"/>
        <v>0</v>
      </c>
      <c r="M42" s="214">
        <f t="shared" si="4"/>
        <v>0</v>
      </c>
      <c r="N42" s="239">
        <f t="shared" si="33"/>
        <v>156.93</v>
      </c>
      <c r="O42" s="113"/>
      <c r="P42" s="113"/>
      <c r="Q42" s="193"/>
      <c r="R42" s="194"/>
      <c r="S42" s="193"/>
      <c r="T42" s="193">
        <v>0</v>
      </c>
      <c r="U42" s="193"/>
      <c r="V42" s="193"/>
      <c r="W42" s="193"/>
      <c r="X42" s="193"/>
      <c r="Y42" s="210"/>
      <c r="Z42" s="279"/>
      <c r="AB42" s="280"/>
      <c r="AC42" s="212"/>
      <c r="AD42" s="212"/>
    </row>
    <row r="43" spans="1:30" s="211" customFormat="1" ht="45" x14ac:dyDescent="0.25">
      <c r="A43" s="241" t="s">
        <v>173</v>
      </c>
      <c r="B43" s="294" t="s">
        <v>99</v>
      </c>
      <c r="C43" s="137" t="s">
        <v>77</v>
      </c>
      <c r="D43" s="138">
        <v>840</v>
      </c>
      <c r="E43" s="208">
        <f>VLOOKUP(A43,'M. DE CÁLCULO'!$A$17:$N$843,12,0)</f>
        <v>0</v>
      </c>
      <c r="F43" s="194">
        <f t="shared" si="34"/>
        <v>0</v>
      </c>
      <c r="G43" s="209">
        <f t="shared" si="35"/>
        <v>840</v>
      </c>
      <c r="H43" s="274">
        <f t="shared" si="36"/>
        <v>0</v>
      </c>
      <c r="I43" s="217">
        <f t="shared" si="37"/>
        <v>0</v>
      </c>
      <c r="J43" s="213">
        <v>5.38</v>
      </c>
      <c r="K43" s="213">
        <f t="shared" si="32"/>
        <v>4519.2</v>
      </c>
      <c r="L43" s="213">
        <f t="shared" si="38"/>
        <v>0</v>
      </c>
      <c r="M43" s="214">
        <f t="shared" si="4"/>
        <v>0</v>
      </c>
      <c r="N43" s="239">
        <f t="shared" si="33"/>
        <v>4519.2</v>
      </c>
      <c r="O43" s="113"/>
      <c r="P43" s="113"/>
      <c r="Q43" s="193"/>
      <c r="R43" s="194"/>
      <c r="S43" s="193"/>
      <c r="T43" s="193">
        <v>0</v>
      </c>
      <c r="U43" s="193"/>
      <c r="V43" s="193"/>
      <c r="W43" s="193"/>
      <c r="X43" s="193"/>
      <c r="Y43" s="210"/>
      <c r="Z43" s="279"/>
      <c r="AB43" s="280"/>
      <c r="AC43" s="212"/>
      <c r="AD43" s="212"/>
    </row>
    <row r="44" spans="1:30" s="211" customFormat="1" ht="45" x14ac:dyDescent="0.25">
      <c r="A44" s="241" t="s">
        <v>174</v>
      </c>
      <c r="B44" s="294" t="s">
        <v>100</v>
      </c>
      <c r="C44" s="137" t="s">
        <v>77</v>
      </c>
      <c r="D44" s="138">
        <v>360</v>
      </c>
      <c r="E44" s="208">
        <f>VLOOKUP(A44,'M. DE CÁLCULO'!$A$17:$N$843,12,0)</f>
        <v>0</v>
      </c>
      <c r="F44" s="194">
        <f t="shared" si="34"/>
        <v>0</v>
      </c>
      <c r="G44" s="209">
        <f t="shared" si="35"/>
        <v>360</v>
      </c>
      <c r="H44" s="274">
        <f t="shared" si="36"/>
        <v>0</v>
      </c>
      <c r="I44" s="217">
        <f t="shared" si="37"/>
        <v>0</v>
      </c>
      <c r="J44" s="213">
        <v>8.32</v>
      </c>
      <c r="K44" s="213">
        <f t="shared" si="32"/>
        <v>2995.2</v>
      </c>
      <c r="L44" s="213">
        <f t="shared" si="38"/>
        <v>0</v>
      </c>
      <c r="M44" s="214">
        <f t="shared" si="4"/>
        <v>0</v>
      </c>
      <c r="N44" s="239">
        <f t="shared" si="33"/>
        <v>2995.2</v>
      </c>
      <c r="O44" s="113"/>
      <c r="P44" s="113"/>
      <c r="Q44" s="193"/>
      <c r="R44" s="194"/>
      <c r="S44" s="193"/>
      <c r="T44" s="193">
        <v>0</v>
      </c>
      <c r="U44" s="193"/>
      <c r="V44" s="193"/>
      <c r="W44" s="193"/>
      <c r="X44" s="193"/>
      <c r="Y44" s="210"/>
      <c r="Z44" s="279"/>
      <c r="AB44" s="280"/>
      <c r="AC44" s="212"/>
      <c r="AD44" s="212"/>
    </row>
    <row r="45" spans="1:30" s="211" customFormat="1" ht="45" x14ac:dyDescent="0.25">
      <c r="A45" s="241" t="s">
        <v>175</v>
      </c>
      <c r="B45" s="294" t="s">
        <v>161</v>
      </c>
      <c r="C45" s="137" t="s">
        <v>77</v>
      </c>
      <c r="D45" s="138">
        <v>12</v>
      </c>
      <c r="E45" s="208">
        <f>VLOOKUP(A45,'M. DE CÁLCULO'!$A$17:$N$843,12,0)</f>
        <v>0</v>
      </c>
      <c r="F45" s="194">
        <f t="shared" si="34"/>
        <v>0</v>
      </c>
      <c r="G45" s="209">
        <f t="shared" si="35"/>
        <v>12</v>
      </c>
      <c r="H45" s="274">
        <f t="shared" si="36"/>
        <v>0</v>
      </c>
      <c r="I45" s="217">
        <f t="shared" si="37"/>
        <v>0</v>
      </c>
      <c r="J45" s="213">
        <v>11.67</v>
      </c>
      <c r="K45" s="213">
        <f t="shared" si="32"/>
        <v>140.04</v>
      </c>
      <c r="L45" s="213">
        <f t="shared" si="38"/>
        <v>0</v>
      </c>
      <c r="M45" s="214">
        <f t="shared" si="4"/>
        <v>0</v>
      </c>
      <c r="N45" s="239">
        <f t="shared" si="33"/>
        <v>140.04</v>
      </c>
      <c r="O45" s="113"/>
      <c r="P45" s="113"/>
      <c r="Q45" s="193"/>
      <c r="R45" s="194"/>
      <c r="S45" s="193"/>
      <c r="T45" s="193">
        <v>0</v>
      </c>
      <c r="U45" s="193"/>
      <c r="V45" s="193"/>
      <c r="W45" s="193"/>
      <c r="X45" s="193"/>
      <c r="Y45" s="210"/>
      <c r="Z45" s="279"/>
      <c r="AB45" s="280"/>
      <c r="AC45" s="212"/>
      <c r="AD45" s="212"/>
    </row>
    <row r="46" spans="1:30" s="211" customFormat="1" ht="45" x14ac:dyDescent="0.25">
      <c r="A46" s="241" t="s">
        <v>176</v>
      </c>
      <c r="B46" s="294" t="s">
        <v>162</v>
      </c>
      <c r="C46" s="137" t="s">
        <v>74</v>
      </c>
      <c r="D46" s="138">
        <v>1</v>
      </c>
      <c r="E46" s="208">
        <f>VLOOKUP(A46,'M. DE CÁLCULO'!$A$17:$N$843,12,0)</f>
        <v>0</v>
      </c>
      <c r="F46" s="194">
        <f t="shared" si="34"/>
        <v>0</v>
      </c>
      <c r="G46" s="209">
        <f t="shared" si="35"/>
        <v>1</v>
      </c>
      <c r="H46" s="274">
        <f t="shared" si="36"/>
        <v>0</v>
      </c>
      <c r="I46" s="217">
        <f t="shared" si="37"/>
        <v>0</v>
      </c>
      <c r="J46" s="213">
        <v>215.42</v>
      </c>
      <c r="K46" s="213">
        <f t="shared" si="32"/>
        <v>215.42</v>
      </c>
      <c r="L46" s="213">
        <f t="shared" si="38"/>
        <v>0</v>
      </c>
      <c r="M46" s="214">
        <f t="shared" si="4"/>
        <v>0</v>
      </c>
      <c r="N46" s="239">
        <f t="shared" si="33"/>
        <v>215.42</v>
      </c>
      <c r="O46" s="113"/>
      <c r="P46" s="113"/>
      <c r="Q46" s="193"/>
      <c r="R46" s="194"/>
      <c r="S46" s="193"/>
      <c r="T46" s="193">
        <v>0</v>
      </c>
      <c r="U46" s="193"/>
      <c r="V46" s="193"/>
      <c r="W46" s="193"/>
      <c r="X46" s="193"/>
      <c r="Y46" s="210"/>
      <c r="Z46" s="279"/>
      <c r="AB46" s="280"/>
      <c r="AC46" s="212"/>
      <c r="AD46" s="212"/>
    </row>
    <row r="47" spans="1:30" s="211" customFormat="1" ht="30" x14ac:dyDescent="0.25">
      <c r="A47" s="241" t="s">
        <v>177</v>
      </c>
      <c r="B47" s="294" t="s">
        <v>163</v>
      </c>
      <c r="C47" s="137" t="s">
        <v>74</v>
      </c>
      <c r="D47" s="138">
        <v>1</v>
      </c>
      <c r="E47" s="208">
        <f>VLOOKUP(A47,'M. DE CÁLCULO'!$A$17:$N$843,12,0)</f>
        <v>0</v>
      </c>
      <c r="F47" s="194">
        <f t="shared" si="34"/>
        <v>0</v>
      </c>
      <c r="G47" s="209">
        <f t="shared" si="35"/>
        <v>1</v>
      </c>
      <c r="H47" s="274">
        <f t="shared" si="36"/>
        <v>0</v>
      </c>
      <c r="I47" s="217">
        <f t="shared" si="37"/>
        <v>0</v>
      </c>
      <c r="J47" s="213">
        <v>17.079999999999998</v>
      </c>
      <c r="K47" s="213">
        <f t="shared" si="32"/>
        <v>17.079999999999998</v>
      </c>
      <c r="L47" s="213">
        <f t="shared" si="38"/>
        <v>0</v>
      </c>
      <c r="M47" s="214">
        <f t="shared" si="4"/>
        <v>0</v>
      </c>
      <c r="N47" s="239">
        <f t="shared" si="33"/>
        <v>17.079999999999998</v>
      </c>
      <c r="O47" s="113"/>
      <c r="P47" s="113"/>
      <c r="Q47" s="193"/>
      <c r="R47" s="194"/>
      <c r="S47" s="193"/>
      <c r="T47" s="193">
        <v>0</v>
      </c>
      <c r="U47" s="193"/>
      <c r="V47" s="193"/>
      <c r="W47" s="193"/>
      <c r="X47" s="193"/>
      <c r="Y47" s="210"/>
      <c r="Z47" s="279"/>
      <c r="AB47" s="280"/>
      <c r="AC47" s="212"/>
      <c r="AD47" s="212"/>
    </row>
    <row r="48" spans="1:30" s="211" customFormat="1" ht="30" x14ac:dyDescent="0.25">
      <c r="A48" s="241" t="s">
        <v>178</v>
      </c>
      <c r="B48" s="294" t="s">
        <v>164</v>
      </c>
      <c r="C48" s="137" t="s">
        <v>74</v>
      </c>
      <c r="D48" s="138">
        <v>2</v>
      </c>
      <c r="E48" s="208">
        <f>VLOOKUP(A48,'M. DE CÁLCULO'!$A$17:$N$843,12,0)</f>
        <v>0</v>
      </c>
      <c r="F48" s="194">
        <f t="shared" si="34"/>
        <v>0</v>
      </c>
      <c r="G48" s="209">
        <f t="shared" si="35"/>
        <v>2</v>
      </c>
      <c r="H48" s="274">
        <f t="shared" si="36"/>
        <v>0</v>
      </c>
      <c r="I48" s="217">
        <f t="shared" si="37"/>
        <v>0</v>
      </c>
      <c r="J48" s="213">
        <v>14.51</v>
      </c>
      <c r="K48" s="213">
        <f t="shared" si="32"/>
        <v>29.02</v>
      </c>
      <c r="L48" s="213">
        <f t="shared" si="38"/>
        <v>0</v>
      </c>
      <c r="M48" s="214">
        <f t="shared" si="4"/>
        <v>0</v>
      </c>
      <c r="N48" s="239">
        <f t="shared" si="33"/>
        <v>29.02</v>
      </c>
      <c r="O48" s="113"/>
      <c r="P48" s="113"/>
      <c r="Q48" s="193"/>
      <c r="R48" s="194"/>
      <c r="S48" s="193"/>
      <c r="T48" s="193">
        <v>0</v>
      </c>
      <c r="U48" s="193"/>
      <c r="V48" s="193"/>
      <c r="W48" s="193"/>
      <c r="X48" s="193"/>
      <c r="Y48" s="210"/>
      <c r="Z48" s="279"/>
      <c r="AB48" s="280"/>
      <c r="AC48" s="212"/>
      <c r="AD48" s="212"/>
    </row>
    <row r="49" spans="1:30" s="211" customFormat="1" ht="30" x14ac:dyDescent="0.25">
      <c r="A49" s="241" t="s">
        <v>179</v>
      </c>
      <c r="B49" s="294" t="s">
        <v>165</v>
      </c>
      <c r="C49" s="137" t="s">
        <v>74</v>
      </c>
      <c r="D49" s="138">
        <v>1</v>
      </c>
      <c r="E49" s="208">
        <f>VLOOKUP(A49,'M. DE CÁLCULO'!$A$17:$N$843,12,0)</f>
        <v>0</v>
      </c>
      <c r="F49" s="194">
        <f t="shared" si="34"/>
        <v>0</v>
      </c>
      <c r="G49" s="209">
        <f t="shared" si="35"/>
        <v>1</v>
      </c>
      <c r="H49" s="274">
        <f t="shared" si="36"/>
        <v>0</v>
      </c>
      <c r="I49" s="217">
        <f t="shared" si="37"/>
        <v>0</v>
      </c>
      <c r="J49" s="213">
        <v>186.05</v>
      </c>
      <c r="K49" s="213">
        <f t="shared" si="32"/>
        <v>186.05</v>
      </c>
      <c r="L49" s="213">
        <f t="shared" si="38"/>
        <v>0</v>
      </c>
      <c r="M49" s="214">
        <f t="shared" si="4"/>
        <v>0</v>
      </c>
      <c r="N49" s="239">
        <f t="shared" si="33"/>
        <v>186.05</v>
      </c>
      <c r="O49" s="113"/>
      <c r="P49" s="113"/>
      <c r="Q49" s="193"/>
      <c r="R49" s="194"/>
      <c r="S49" s="193"/>
      <c r="T49" s="193">
        <v>0</v>
      </c>
      <c r="U49" s="193"/>
      <c r="V49" s="193"/>
      <c r="W49" s="193"/>
      <c r="X49" s="193"/>
      <c r="Y49" s="210"/>
      <c r="Z49" s="279"/>
      <c r="AB49" s="280"/>
      <c r="AC49" s="212"/>
      <c r="AD49" s="212"/>
    </row>
    <row r="50" spans="1:30" s="211" customFormat="1" ht="30" x14ac:dyDescent="0.25">
      <c r="A50" s="241" t="s">
        <v>180</v>
      </c>
      <c r="B50" s="294" t="s">
        <v>166</v>
      </c>
      <c r="C50" s="137" t="s">
        <v>83</v>
      </c>
      <c r="D50" s="138">
        <v>2</v>
      </c>
      <c r="E50" s="208">
        <f>VLOOKUP(A50,'M. DE CÁLCULO'!$A$17:$N$843,12,0)</f>
        <v>0</v>
      </c>
      <c r="F50" s="194">
        <f t="shared" si="34"/>
        <v>0</v>
      </c>
      <c r="G50" s="209">
        <f t="shared" si="35"/>
        <v>2</v>
      </c>
      <c r="H50" s="274">
        <f t="shared" si="36"/>
        <v>0</v>
      </c>
      <c r="I50" s="217">
        <f t="shared" si="37"/>
        <v>0</v>
      </c>
      <c r="J50" s="213">
        <v>92.64</v>
      </c>
      <c r="K50" s="213">
        <f t="shared" si="32"/>
        <v>185.28</v>
      </c>
      <c r="L50" s="213">
        <f t="shared" si="38"/>
        <v>0</v>
      </c>
      <c r="M50" s="214">
        <f t="shared" si="4"/>
        <v>0</v>
      </c>
      <c r="N50" s="239">
        <f t="shared" si="33"/>
        <v>185.28</v>
      </c>
      <c r="O50" s="113"/>
      <c r="P50" s="113"/>
      <c r="Q50" s="193"/>
      <c r="R50" s="194"/>
      <c r="S50" s="193"/>
      <c r="T50" s="193">
        <v>0</v>
      </c>
      <c r="U50" s="193"/>
      <c r="V50" s="193"/>
      <c r="W50" s="193"/>
      <c r="X50" s="193"/>
      <c r="Y50" s="210"/>
      <c r="Z50" s="279"/>
      <c r="AB50" s="280"/>
      <c r="AC50" s="212"/>
      <c r="AD50" s="212"/>
    </row>
    <row r="51" spans="1:30" s="116" customFormat="1" x14ac:dyDescent="0.25">
      <c r="A51" s="117">
        <v>8</v>
      </c>
      <c r="B51" s="118" t="s">
        <v>185</v>
      </c>
      <c r="C51" s="119"/>
      <c r="D51" s="147"/>
      <c r="E51" s="148"/>
      <c r="F51" s="148"/>
      <c r="G51" s="148"/>
      <c r="H51" s="271"/>
      <c r="I51" s="271"/>
      <c r="J51" s="148"/>
      <c r="K51" s="205">
        <f>SUM(K52:K55)</f>
        <v>15542.66</v>
      </c>
      <c r="L51" s="205">
        <f>SUM(L52:L55)</f>
        <v>0</v>
      </c>
      <c r="M51" s="205">
        <f>SUM(M52:M55)</f>
        <v>0</v>
      </c>
      <c r="N51" s="240">
        <f>SUM(N52:N55)</f>
        <v>15542.66</v>
      </c>
      <c r="O51" s="113"/>
      <c r="P51" s="113"/>
      <c r="Q51" s="195"/>
      <c r="R51" s="196"/>
      <c r="S51" s="192"/>
      <c r="T51" s="120"/>
      <c r="U51" s="120"/>
      <c r="V51" s="120"/>
      <c r="W51" s="120"/>
      <c r="X51" s="115"/>
      <c r="Z51" s="277"/>
      <c r="AB51" s="280"/>
    </row>
    <row r="52" spans="1:30" s="211" customFormat="1" ht="45" x14ac:dyDescent="0.25">
      <c r="A52" s="241" t="s">
        <v>181</v>
      </c>
      <c r="B52" s="300" t="s">
        <v>186</v>
      </c>
      <c r="C52" s="137" t="s">
        <v>77</v>
      </c>
      <c r="D52" s="138">
        <v>65.7</v>
      </c>
      <c r="E52" s="208">
        <f>VLOOKUP(A52,'M. DE CÁLCULO'!$A$17:$N$843,12,0)</f>
        <v>0</v>
      </c>
      <c r="F52" s="194">
        <f t="shared" ref="F52:F55" si="39">S52+E52</f>
        <v>0</v>
      </c>
      <c r="G52" s="209">
        <f t="shared" si="1"/>
        <v>65.7</v>
      </c>
      <c r="H52" s="274">
        <f t="shared" si="2"/>
        <v>0</v>
      </c>
      <c r="I52" s="217">
        <f t="shared" si="3"/>
        <v>0</v>
      </c>
      <c r="J52" s="206">
        <v>163.1</v>
      </c>
      <c r="K52" s="206">
        <f t="shared" ref="K52:K55" si="40">D52*J52</f>
        <v>10715.67</v>
      </c>
      <c r="L52" s="206">
        <f t="shared" ref="L52:M55" si="41">TRUNC(E52*$J52,2)</f>
        <v>0</v>
      </c>
      <c r="M52" s="204">
        <f t="shared" si="41"/>
        <v>0</v>
      </c>
      <c r="N52" s="239">
        <f>K52-M52</f>
        <v>10715.67</v>
      </c>
      <c r="O52" s="113"/>
      <c r="P52" s="113"/>
      <c r="Q52" s="193">
        <f t="shared" si="8"/>
        <v>0</v>
      </c>
      <c r="R52" s="194">
        <f t="shared" si="9"/>
        <v>65.7</v>
      </c>
      <c r="S52" s="193">
        <f t="shared" ref="S52:S55" si="42">SUM(T52:X52)</f>
        <v>0</v>
      </c>
      <c r="T52" s="193">
        <v>0</v>
      </c>
      <c r="U52" s="193"/>
      <c r="V52" s="193"/>
      <c r="W52" s="193"/>
      <c r="X52" s="193"/>
      <c r="Y52" s="210"/>
      <c r="Z52" s="279"/>
      <c r="AB52" s="280"/>
      <c r="AC52" s="212"/>
      <c r="AD52" s="212"/>
    </row>
    <row r="53" spans="1:30" s="143" customFormat="1" ht="45" x14ac:dyDescent="0.25">
      <c r="A53" s="238" t="s">
        <v>182</v>
      </c>
      <c r="B53" s="300" t="s">
        <v>187</v>
      </c>
      <c r="C53" s="137" t="s">
        <v>74</v>
      </c>
      <c r="D53" s="138">
        <v>42</v>
      </c>
      <c r="E53" s="138">
        <f>VLOOKUP(A53,'M. DE CÁLCULO'!$A$17:$N$843,12,0)</f>
        <v>0</v>
      </c>
      <c r="F53" s="139">
        <f t="shared" si="39"/>
        <v>0</v>
      </c>
      <c r="G53" s="140">
        <f t="shared" ref="G53:G55" si="43">D53-F53</f>
        <v>42</v>
      </c>
      <c r="H53" s="273">
        <f t="shared" ref="H53:H55" si="44">E53/D53</f>
        <v>0</v>
      </c>
      <c r="I53" s="270">
        <f t="shared" ref="I53:I55" si="45">F53/D53</f>
        <v>0</v>
      </c>
      <c r="J53" s="206">
        <v>48.32</v>
      </c>
      <c r="K53" s="206">
        <f t="shared" si="40"/>
        <v>2029.44</v>
      </c>
      <c r="L53" s="206">
        <f t="shared" si="41"/>
        <v>0</v>
      </c>
      <c r="M53" s="204">
        <f t="shared" si="41"/>
        <v>0</v>
      </c>
      <c r="N53" s="239">
        <f t="shared" ref="N53:N55" si="46">K53-M53</f>
        <v>2029.44</v>
      </c>
      <c r="O53" s="113"/>
      <c r="P53" s="113"/>
      <c r="Q53" s="193">
        <f t="shared" si="8"/>
        <v>0</v>
      </c>
      <c r="R53" s="194">
        <f t="shared" si="9"/>
        <v>42</v>
      </c>
      <c r="S53" s="193">
        <f t="shared" si="42"/>
        <v>0</v>
      </c>
      <c r="T53" s="141">
        <v>0</v>
      </c>
      <c r="U53" s="141"/>
      <c r="V53" s="141"/>
      <c r="W53" s="141"/>
      <c r="X53" s="141"/>
      <c r="Y53" s="142"/>
      <c r="Z53" s="278"/>
      <c r="AB53" s="280"/>
      <c r="AC53" s="144"/>
      <c r="AD53" s="144"/>
    </row>
    <row r="54" spans="1:30" s="143" customFormat="1" ht="33" customHeight="1" x14ac:dyDescent="0.25">
      <c r="A54" s="238" t="s">
        <v>183</v>
      </c>
      <c r="B54" s="300" t="s">
        <v>188</v>
      </c>
      <c r="C54" s="137" t="s">
        <v>77</v>
      </c>
      <c r="D54" s="138">
        <v>70</v>
      </c>
      <c r="E54" s="138">
        <f>VLOOKUP(A54,'M. DE CÁLCULO'!$A$17:$N$843,12,0)</f>
        <v>0</v>
      </c>
      <c r="F54" s="139">
        <f t="shared" si="39"/>
        <v>0</v>
      </c>
      <c r="G54" s="140">
        <f t="shared" si="43"/>
        <v>70</v>
      </c>
      <c r="H54" s="273">
        <f t="shared" si="44"/>
        <v>0</v>
      </c>
      <c r="I54" s="270">
        <f t="shared" si="45"/>
        <v>0</v>
      </c>
      <c r="J54" s="206">
        <v>34.65</v>
      </c>
      <c r="K54" s="206">
        <f t="shared" si="40"/>
        <v>2425.5</v>
      </c>
      <c r="L54" s="206">
        <f t="shared" si="41"/>
        <v>0</v>
      </c>
      <c r="M54" s="204">
        <f t="shared" si="41"/>
        <v>0</v>
      </c>
      <c r="N54" s="239">
        <f t="shared" si="46"/>
        <v>2425.5</v>
      </c>
      <c r="O54" s="113"/>
      <c r="P54" s="113"/>
      <c r="Q54" s="193">
        <f t="shared" si="8"/>
        <v>0</v>
      </c>
      <c r="R54" s="194">
        <f t="shared" si="9"/>
        <v>70</v>
      </c>
      <c r="S54" s="193">
        <f t="shared" si="42"/>
        <v>0</v>
      </c>
      <c r="T54" s="141">
        <v>0</v>
      </c>
      <c r="U54" s="141"/>
      <c r="V54" s="141"/>
      <c r="W54" s="141"/>
      <c r="X54" s="141"/>
      <c r="Y54" s="142"/>
      <c r="Z54" s="278"/>
      <c r="AB54" s="280"/>
      <c r="AC54" s="144"/>
      <c r="AD54" s="144"/>
    </row>
    <row r="55" spans="1:30" s="143" customFormat="1" ht="30" x14ac:dyDescent="0.25">
      <c r="A55" s="238" t="s">
        <v>184</v>
      </c>
      <c r="B55" s="300" t="s">
        <v>189</v>
      </c>
      <c r="C55" s="137" t="s">
        <v>77</v>
      </c>
      <c r="D55" s="138">
        <v>7</v>
      </c>
      <c r="E55" s="138">
        <f>VLOOKUP(A55,'M. DE CÁLCULO'!$A$17:$N$843,12,0)</f>
        <v>0</v>
      </c>
      <c r="F55" s="139">
        <f t="shared" si="39"/>
        <v>0</v>
      </c>
      <c r="G55" s="140">
        <f t="shared" si="43"/>
        <v>7</v>
      </c>
      <c r="H55" s="273">
        <f t="shared" si="44"/>
        <v>0</v>
      </c>
      <c r="I55" s="270">
        <f t="shared" si="45"/>
        <v>0</v>
      </c>
      <c r="J55" s="206">
        <v>53.15</v>
      </c>
      <c r="K55" s="206">
        <f t="shared" si="40"/>
        <v>372.05</v>
      </c>
      <c r="L55" s="206">
        <f t="shared" si="41"/>
        <v>0</v>
      </c>
      <c r="M55" s="204">
        <f t="shared" si="41"/>
        <v>0</v>
      </c>
      <c r="N55" s="239">
        <f t="shared" si="46"/>
        <v>372.05</v>
      </c>
      <c r="O55" s="113"/>
      <c r="P55" s="113"/>
      <c r="Q55" s="193">
        <f t="shared" si="8"/>
        <v>0</v>
      </c>
      <c r="R55" s="194">
        <f t="shared" si="9"/>
        <v>7</v>
      </c>
      <c r="S55" s="193">
        <f t="shared" si="42"/>
        <v>0</v>
      </c>
      <c r="T55" s="141">
        <v>0</v>
      </c>
      <c r="U55" s="141"/>
      <c r="V55" s="141"/>
      <c r="W55" s="141"/>
      <c r="X55" s="141"/>
      <c r="Y55" s="142"/>
      <c r="Z55" s="278"/>
      <c r="AB55" s="280"/>
      <c r="AC55" s="144"/>
      <c r="AD55" s="144"/>
    </row>
    <row r="56" spans="1:30" s="116" customFormat="1" x14ac:dyDescent="0.25">
      <c r="A56" s="117">
        <v>9</v>
      </c>
      <c r="B56" s="118" t="s">
        <v>87</v>
      </c>
      <c r="C56" s="119"/>
      <c r="D56" s="147"/>
      <c r="E56" s="148"/>
      <c r="F56" s="148"/>
      <c r="G56" s="148"/>
      <c r="H56" s="271"/>
      <c r="I56" s="271"/>
      <c r="J56" s="148"/>
      <c r="K56" s="205">
        <f>SUM(K57:K58)</f>
        <v>3127.23</v>
      </c>
      <c r="L56" s="205">
        <f>SUM(L57:L58)</f>
        <v>0</v>
      </c>
      <c r="M56" s="205">
        <f>SUM(M57:M58)</f>
        <v>2436.9899999999998</v>
      </c>
      <c r="N56" s="240">
        <f>SUM(N57:N58)</f>
        <v>690.24</v>
      </c>
      <c r="O56" s="113"/>
      <c r="P56" s="113"/>
      <c r="Q56" s="195"/>
      <c r="R56" s="196"/>
      <c r="S56" s="192"/>
      <c r="T56" s="120"/>
      <c r="U56" s="120"/>
      <c r="V56" s="120"/>
      <c r="W56" s="120"/>
      <c r="X56" s="115"/>
      <c r="Z56" s="277"/>
      <c r="AB56" s="280"/>
    </row>
    <row r="57" spans="1:30" s="211" customFormat="1" ht="30" x14ac:dyDescent="0.25">
      <c r="A57" s="241" t="s">
        <v>190</v>
      </c>
      <c r="B57" s="300" t="s">
        <v>192</v>
      </c>
      <c r="C57" s="137" t="s">
        <v>76</v>
      </c>
      <c r="D57" s="138">
        <v>1.86</v>
      </c>
      <c r="E57" s="208">
        <f>VLOOKUP(A57,'M. DE CÁLCULO'!$A$17:$N$843,12,0)</f>
        <v>0</v>
      </c>
      <c r="F57" s="194">
        <f>S57+E57</f>
        <v>1.1499999999999999</v>
      </c>
      <c r="G57" s="209">
        <f t="shared" si="1"/>
        <v>0.71</v>
      </c>
      <c r="H57" s="274">
        <f t="shared" si="2"/>
        <v>0</v>
      </c>
      <c r="I57" s="217">
        <f t="shared" si="3"/>
        <v>0.61829999999999996</v>
      </c>
      <c r="J57" s="206">
        <v>839.17</v>
      </c>
      <c r="K57" s="206">
        <f>TRUNC(D57*J57,2)</f>
        <v>1560.85</v>
      </c>
      <c r="L57" s="206">
        <f t="shared" ref="L57:M58" si="47">TRUNC(E57*$J57,2)</f>
        <v>0</v>
      </c>
      <c r="M57" s="204">
        <f t="shared" si="47"/>
        <v>965.04</v>
      </c>
      <c r="N57" s="239">
        <f>K57-M57</f>
        <v>595.80999999999995</v>
      </c>
      <c r="O57" s="113"/>
      <c r="P57" s="113"/>
      <c r="Q57" s="193">
        <f t="shared" ref="Q57:Q68" si="48">L57</f>
        <v>0</v>
      </c>
      <c r="R57" s="194">
        <f t="shared" ref="R57:R68" si="49">D57-S57-E57</f>
        <v>0.71</v>
      </c>
      <c r="S57" s="193">
        <f t="shared" ref="S57:S58" si="50">SUM(T57:X57)</f>
        <v>1.1499999999999999</v>
      </c>
      <c r="T57" s="193">
        <v>1.1499999999999999</v>
      </c>
      <c r="U57" s="193"/>
      <c r="V57" s="193"/>
      <c r="W57" s="193"/>
      <c r="X57" s="193"/>
      <c r="Y57" s="210"/>
      <c r="Z57" s="279"/>
      <c r="AB57" s="280"/>
      <c r="AC57" s="212"/>
      <c r="AD57" s="212"/>
    </row>
    <row r="58" spans="1:30" s="211" customFormat="1" ht="36.75" customHeight="1" x14ac:dyDescent="0.25">
      <c r="A58" s="241" t="s">
        <v>191</v>
      </c>
      <c r="B58" s="300" t="s">
        <v>96</v>
      </c>
      <c r="C58" s="137" t="s">
        <v>75</v>
      </c>
      <c r="D58" s="138">
        <v>31.85</v>
      </c>
      <c r="E58" s="208">
        <f>VLOOKUP(A58,'M. DE CÁLCULO'!$A$17:$N$843,12,0)</f>
        <v>0</v>
      </c>
      <c r="F58" s="194">
        <f t="shared" ref="F58" si="51">S58+E58</f>
        <v>29.93</v>
      </c>
      <c r="G58" s="209">
        <f t="shared" si="1"/>
        <v>1.92</v>
      </c>
      <c r="H58" s="274">
        <f t="shared" si="2"/>
        <v>0</v>
      </c>
      <c r="I58" s="217">
        <f t="shared" si="3"/>
        <v>0.93969999999999998</v>
      </c>
      <c r="J58" s="206">
        <v>49.18</v>
      </c>
      <c r="K58" s="206">
        <f t="shared" ref="K58" si="52">D58*J58</f>
        <v>1566.38</v>
      </c>
      <c r="L58" s="206">
        <f t="shared" si="47"/>
        <v>0</v>
      </c>
      <c r="M58" s="204">
        <f t="shared" si="47"/>
        <v>1471.95</v>
      </c>
      <c r="N58" s="239">
        <f>K58-M58</f>
        <v>94.43</v>
      </c>
      <c r="O58" s="113"/>
      <c r="P58" s="113"/>
      <c r="Q58" s="193">
        <f t="shared" si="48"/>
        <v>0</v>
      </c>
      <c r="R58" s="194">
        <f t="shared" si="49"/>
        <v>1.92</v>
      </c>
      <c r="S58" s="193">
        <f t="shared" si="50"/>
        <v>29.93</v>
      </c>
      <c r="T58" s="193">
        <v>29.93</v>
      </c>
      <c r="U58" s="193"/>
      <c r="V58" s="193"/>
      <c r="W58" s="193"/>
      <c r="X58" s="193"/>
      <c r="Y58" s="210"/>
      <c r="Z58" s="279"/>
      <c r="AB58" s="280"/>
      <c r="AC58" s="212"/>
      <c r="AD58" s="212"/>
    </row>
    <row r="59" spans="1:30" s="116" customFormat="1" x14ac:dyDescent="0.25">
      <c r="A59" s="117">
        <v>10</v>
      </c>
      <c r="B59" s="118" t="s">
        <v>97</v>
      </c>
      <c r="C59" s="119"/>
      <c r="D59" s="147"/>
      <c r="E59" s="148"/>
      <c r="F59" s="148"/>
      <c r="G59" s="148"/>
      <c r="H59" s="271"/>
      <c r="I59" s="271"/>
      <c r="J59" s="148"/>
      <c r="K59" s="205">
        <f>SUM(K60:K61)</f>
        <v>2295.91</v>
      </c>
      <c r="L59" s="205">
        <f>SUM(L60:L61)</f>
        <v>2289.6799999999998</v>
      </c>
      <c r="M59" s="205">
        <f>SUM(M60:M61)</f>
        <v>2289.6799999999998</v>
      </c>
      <c r="N59" s="240">
        <f>SUM(N60:N61)</f>
        <v>6.23</v>
      </c>
      <c r="O59" s="113"/>
      <c r="P59" s="113"/>
      <c r="Q59" s="195"/>
      <c r="R59" s="196"/>
      <c r="S59" s="192"/>
      <c r="T59" s="120"/>
      <c r="U59" s="120"/>
      <c r="V59" s="120"/>
      <c r="W59" s="120"/>
      <c r="X59" s="115"/>
      <c r="Z59" s="277"/>
      <c r="AB59" s="280"/>
    </row>
    <row r="60" spans="1:30" s="143" customFormat="1" ht="49.5" customHeight="1" x14ac:dyDescent="0.25">
      <c r="A60" s="238" t="s">
        <v>194</v>
      </c>
      <c r="B60" s="300" t="s">
        <v>193</v>
      </c>
      <c r="C60" s="137" t="s">
        <v>75</v>
      </c>
      <c r="D60" s="138">
        <v>33.25</v>
      </c>
      <c r="E60" s="138">
        <f>VLOOKUP(A60,'M. DE CÁLCULO'!$A$17:$N$843,12,0)</f>
        <v>33.159999999999997</v>
      </c>
      <c r="F60" s="139">
        <f t="shared" ref="F60:F61" si="53">S60+E60</f>
        <v>33.159999999999997</v>
      </c>
      <c r="G60" s="140">
        <f t="shared" si="1"/>
        <v>0.09</v>
      </c>
      <c r="H60" s="273">
        <f t="shared" si="2"/>
        <v>0.99729999999999996</v>
      </c>
      <c r="I60" s="270">
        <f t="shared" si="3"/>
        <v>0.99729999999999996</v>
      </c>
      <c r="J60" s="206">
        <v>7.81</v>
      </c>
      <c r="K60" s="206">
        <f t="shared" ref="K60:K61" si="54">D60*J60</f>
        <v>259.68</v>
      </c>
      <c r="L60" s="206">
        <f t="shared" ref="L60:M61" si="55">TRUNC(E60*$J60,2)</f>
        <v>258.97000000000003</v>
      </c>
      <c r="M60" s="204">
        <f t="shared" si="55"/>
        <v>258.97000000000003</v>
      </c>
      <c r="N60" s="239">
        <f>K60-M60</f>
        <v>0.71</v>
      </c>
      <c r="O60" s="113"/>
      <c r="P60" s="113"/>
      <c r="Q60" s="193">
        <f t="shared" si="48"/>
        <v>258.97000000000003</v>
      </c>
      <c r="R60" s="194">
        <f t="shared" si="49"/>
        <v>0.09</v>
      </c>
      <c r="S60" s="193">
        <f t="shared" ref="S60:S61" si="56">SUM(T60:X60)</f>
        <v>0</v>
      </c>
      <c r="T60" s="141">
        <v>0</v>
      </c>
      <c r="U60" s="141"/>
      <c r="V60" s="141"/>
      <c r="W60" s="141"/>
      <c r="X60" s="141"/>
      <c r="Y60" s="142"/>
      <c r="Z60" s="278"/>
      <c r="AB60" s="280"/>
      <c r="AC60" s="144"/>
      <c r="AD60" s="144"/>
    </row>
    <row r="61" spans="1:30" s="143" customFormat="1" ht="60" x14ac:dyDescent="0.25">
      <c r="A61" s="238" t="s">
        <v>195</v>
      </c>
      <c r="B61" s="300" t="s">
        <v>104</v>
      </c>
      <c r="C61" s="137" t="s">
        <v>75</v>
      </c>
      <c r="D61" s="138">
        <v>33.25</v>
      </c>
      <c r="E61" s="138">
        <f>VLOOKUP(A61,'M. DE CÁLCULO'!$A$17:$N$843,12,0)</f>
        <v>33.159999999999997</v>
      </c>
      <c r="F61" s="139">
        <f t="shared" si="53"/>
        <v>33.159999999999997</v>
      </c>
      <c r="G61" s="140">
        <f t="shared" si="1"/>
        <v>0.09</v>
      </c>
      <c r="H61" s="273">
        <f t="shared" si="2"/>
        <v>0.99729999999999996</v>
      </c>
      <c r="I61" s="270">
        <f t="shared" si="3"/>
        <v>0.99729999999999996</v>
      </c>
      <c r="J61" s="206">
        <v>61.24</v>
      </c>
      <c r="K61" s="206">
        <f t="shared" si="54"/>
        <v>2036.23</v>
      </c>
      <c r="L61" s="206">
        <f t="shared" si="55"/>
        <v>2030.71</v>
      </c>
      <c r="M61" s="204">
        <f t="shared" si="55"/>
        <v>2030.71</v>
      </c>
      <c r="N61" s="239">
        <f>K61-M61</f>
        <v>5.52</v>
      </c>
      <c r="O61" s="113"/>
      <c r="P61" s="113"/>
      <c r="Q61" s="193">
        <f t="shared" si="48"/>
        <v>2030.71</v>
      </c>
      <c r="R61" s="194">
        <f t="shared" si="49"/>
        <v>0.09</v>
      </c>
      <c r="S61" s="193">
        <f t="shared" si="56"/>
        <v>0</v>
      </c>
      <c r="T61" s="141">
        <v>0</v>
      </c>
      <c r="U61" s="141"/>
      <c r="V61" s="141"/>
      <c r="W61" s="141"/>
      <c r="X61" s="141"/>
      <c r="Y61" s="142"/>
      <c r="Z61" s="278"/>
      <c r="AB61" s="280"/>
      <c r="AC61" s="144"/>
      <c r="AD61" s="144"/>
    </row>
    <row r="62" spans="1:30" s="116" customFormat="1" x14ac:dyDescent="0.25">
      <c r="A62" s="117">
        <v>11</v>
      </c>
      <c r="B62" s="118" t="s">
        <v>79</v>
      </c>
      <c r="C62" s="119"/>
      <c r="D62" s="147"/>
      <c r="E62" s="148"/>
      <c r="F62" s="148"/>
      <c r="G62" s="148"/>
      <c r="H62" s="271"/>
      <c r="I62" s="271"/>
      <c r="J62" s="148"/>
      <c r="K62" s="205">
        <f>SUM(K63)</f>
        <v>379.38</v>
      </c>
      <c r="L62" s="205">
        <f>SUM(L63)</f>
        <v>0</v>
      </c>
      <c r="M62" s="205">
        <f>SUM(M63)</f>
        <v>0</v>
      </c>
      <c r="N62" s="240">
        <f>SUM(N63)</f>
        <v>379.38</v>
      </c>
      <c r="O62" s="113"/>
      <c r="P62" s="113"/>
      <c r="Q62" s="195"/>
      <c r="R62" s="196"/>
      <c r="S62" s="192"/>
      <c r="T62" s="120"/>
      <c r="U62" s="120"/>
      <c r="V62" s="120"/>
      <c r="W62" s="120"/>
      <c r="X62" s="115"/>
      <c r="Z62" s="277"/>
      <c r="AB62" s="280"/>
    </row>
    <row r="63" spans="1:30" s="211" customFormat="1" x14ac:dyDescent="0.25">
      <c r="A63" s="241" t="s">
        <v>196</v>
      </c>
      <c r="B63" s="294" t="s">
        <v>101</v>
      </c>
      <c r="C63" s="137" t="s">
        <v>75</v>
      </c>
      <c r="D63" s="138">
        <v>33.25</v>
      </c>
      <c r="E63" s="208">
        <f>VLOOKUP(A63,'M. DE CÁLCULO'!$A$17:$N$843,12,0)</f>
        <v>0</v>
      </c>
      <c r="F63" s="194">
        <f t="shared" ref="F63" si="57">S63+E63</f>
        <v>0</v>
      </c>
      <c r="G63" s="209">
        <f t="shared" si="1"/>
        <v>33.25</v>
      </c>
      <c r="H63" s="274">
        <f t="shared" si="2"/>
        <v>0</v>
      </c>
      <c r="I63" s="217">
        <f t="shared" si="3"/>
        <v>0</v>
      </c>
      <c r="J63" s="206">
        <v>11.41</v>
      </c>
      <c r="K63" s="206">
        <f t="shared" ref="K63" si="58">D63*J63</f>
        <v>379.38</v>
      </c>
      <c r="L63" s="206">
        <f t="shared" ref="L63:M63" si="59">TRUNC(E63*$J63,2)</f>
        <v>0</v>
      </c>
      <c r="M63" s="204">
        <f t="shared" si="59"/>
        <v>0</v>
      </c>
      <c r="N63" s="239">
        <f>K63-M63</f>
        <v>379.38</v>
      </c>
      <c r="O63" s="113"/>
      <c r="P63" s="113"/>
      <c r="Q63" s="193">
        <f t="shared" si="48"/>
        <v>0</v>
      </c>
      <c r="R63" s="194">
        <f t="shared" si="49"/>
        <v>33.25</v>
      </c>
      <c r="S63" s="193">
        <f t="shared" ref="S63" si="60">SUM(T63:X63)</f>
        <v>0</v>
      </c>
      <c r="T63" s="193">
        <v>0</v>
      </c>
      <c r="U63" s="193"/>
      <c r="V63" s="193"/>
      <c r="W63" s="193"/>
      <c r="X63" s="193"/>
      <c r="Y63" s="210"/>
      <c r="Z63" s="279"/>
      <c r="AB63" s="280"/>
      <c r="AC63" s="212"/>
      <c r="AD63" s="212"/>
    </row>
    <row r="64" spans="1:30" s="116" customFormat="1" x14ac:dyDescent="0.25">
      <c r="A64" s="117">
        <v>12</v>
      </c>
      <c r="B64" s="118" t="s">
        <v>197</v>
      </c>
      <c r="C64" s="119"/>
      <c r="D64" s="147"/>
      <c r="E64" s="147"/>
      <c r="F64" s="147"/>
      <c r="G64" s="147"/>
      <c r="H64" s="272"/>
      <c r="I64" s="272"/>
      <c r="J64" s="148"/>
      <c r="K64" s="205">
        <f>SUM(K65:K68)</f>
        <v>5106.3999999999996</v>
      </c>
      <c r="L64" s="205">
        <f>SUM(L65:L68)</f>
        <v>0</v>
      </c>
      <c r="M64" s="205">
        <f>SUM(M65:M68)</f>
        <v>400.17</v>
      </c>
      <c r="N64" s="240">
        <f>SUM(N65:N68)</f>
        <v>4706.2299999999996</v>
      </c>
      <c r="O64" s="113"/>
      <c r="P64" s="113"/>
      <c r="Q64" s="195"/>
      <c r="R64" s="196"/>
      <c r="S64" s="192"/>
      <c r="T64" s="120"/>
      <c r="U64" s="120"/>
      <c r="V64" s="120"/>
      <c r="W64" s="120"/>
      <c r="X64" s="115"/>
      <c r="Z64" s="277"/>
      <c r="AB64" s="280"/>
    </row>
    <row r="65" spans="1:30" s="211" customFormat="1" ht="60.75" customHeight="1" x14ac:dyDescent="0.25">
      <c r="A65" s="241" t="s">
        <v>198</v>
      </c>
      <c r="B65" s="300" t="s">
        <v>202</v>
      </c>
      <c r="C65" s="137" t="s">
        <v>76</v>
      </c>
      <c r="D65" s="138">
        <v>36</v>
      </c>
      <c r="E65" s="208">
        <f>VLOOKUP(A65,'M. DE CÁLCULO'!$A$17:$N$843,12,0)</f>
        <v>0</v>
      </c>
      <c r="F65" s="194">
        <f t="shared" ref="F65:F68" si="61">S65+E65</f>
        <v>8.73</v>
      </c>
      <c r="G65" s="209">
        <f t="shared" ref="G65:G68" si="62">D65-F65</f>
        <v>27.27</v>
      </c>
      <c r="H65" s="274">
        <f t="shared" ref="H65:H68" si="63">E65/D65</f>
        <v>0</v>
      </c>
      <c r="I65" s="217">
        <f t="shared" ref="I65:I68" si="64">F65/D65</f>
        <v>0.24249999999999999</v>
      </c>
      <c r="J65" s="206">
        <v>11.24</v>
      </c>
      <c r="K65" s="206">
        <f t="shared" ref="K65:K68" si="65">D65*J65</f>
        <v>404.64</v>
      </c>
      <c r="L65" s="206">
        <f t="shared" ref="L65:M68" si="66">TRUNC(E65*$J65,2)</f>
        <v>0</v>
      </c>
      <c r="M65" s="204">
        <f t="shared" si="66"/>
        <v>98.12</v>
      </c>
      <c r="N65" s="239">
        <f>K65-M65</f>
        <v>306.52</v>
      </c>
      <c r="O65" s="113"/>
      <c r="P65" s="113"/>
      <c r="Q65" s="193">
        <f t="shared" si="48"/>
        <v>0</v>
      </c>
      <c r="R65" s="194">
        <f t="shared" si="49"/>
        <v>27.27</v>
      </c>
      <c r="S65" s="193">
        <f t="shared" ref="S65:S68" si="67">SUM(T65:X65)</f>
        <v>8.73</v>
      </c>
      <c r="T65" s="193">
        <v>8.73</v>
      </c>
      <c r="U65" s="193"/>
      <c r="V65" s="193"/>
      <c r="W65" s="193"/>
      <c r="X65" s="193"/>
      <c r="Y65" s="210"/>
      <c r="Z65" s="279"/>
      <c r="AB65" s="280"/>
      <c r="AC65" s="212"/>
      <c r="AD65" s="212"/>
    </row>
    <row r="66" spans="1:30" s="211" customFormat="1" ht="51" customHeight="1" x14ac:dyDescent="0.25">
      <c r="A66" s="241" t="s">
        <v>199</v>
      </c>
      <c r="B66" s="300" t="s">
        <v>203</v>
      </c>
      <c r="C66" s="137" t="s">
        <v>88</v>
      </c>
      <c r="D66" s="138">
        <v>360</v>
      </c>
      <c r="E66" s="208">
        <f>VLOOKUP(A66,'M. DE CÁLCULO'!$A$17:$N$843,12,0)</f>
        <v>0</v>
      </c>
      <c r="F66" s="194">
        <f t="shared" si="61"/>
        <v>87.3</v>
      </c>
      <c r="G66" s="209">
        <f t="shared" si="62"/>
        <v>272.7</v>
      </c>
      <c r="H66" s="274">
        <f t="shared" si="63"/>
        <v>0</v>
      </c>
      <c r="I66" s="217">
        <f t="shared" si="64"/>
        <v>0.24249999999999999</v>
      </c>
      <c r="J66" s="206">
        <v>3.46</v>
      </c>
      <c r="K66" s="206">
        <f t="shared" si="65"/>
        <v>1245.5999999999999</v>
      </c>
      <c r="L66" s="206">
        <f t="shared" si="66"/>
        <v>0</v>
      </c>
      <c r="M66" s="204">
        <f t="shared" si="66"/>
        <v>302.05</v>
      </c>
      <c r="N66" s="239">
        <f>K66-M66</f>
        <v>943.55</v>
      </c>
      <c r="O66" s="113"/>
      <c r="P66" s="113"/>
      <c r="Q66" s="193">
        <f t="shared" si="48"/>
        <v>0</v>
      </c>
      <c r="R66" s="194">
        <f t="shared" si="49"/>
        <v>272.7</v>
      </c>
      <c r="S66" s="193">
        <f t="shared" si="67"/>
        <v>87.3</v>
      </c>
      <c r="T66" s="193">
        <v>87.3</v>
      </c>
      <c r="U66" s="193"/>
      <c r="V66" s="193"/>
      <c r="W66" s="193"/>
      <c r="X66" s="193"/>
      <c r="Y66" s="210"/>
      <c r="Z66" s="279"/>
      <c r="AB66" s="280"/>
      <c r="AC66" s="212"/>
      <c r="AD66" s="212"/>
    </row>
    <row r="67" spans="1:30" s="211" customFormat="1" ht="30" x14ac:dyDescent="0.25">
      <c r="A67" s="241" t="s">
        <v>200</v>
      </c>
      <c r="B67" s="300" t="s">
        <v>103</v>
      </c>
      <c r="C67" s="137" t="s">
        <v>93</v>
      </c>
      <c r="D67" s="138">
        <v>50</v>
      </c>
      <c r="E67" s="208">
        <f>VLOOKUP(A67,'M. DE CÁLCULO'!$A$17:$N$843,12,0)</f>
        <v>0</v>
      </c>
      <c r="F67" s="194">
        <f t="shared" si="61"/>
        <v>0</v>
      </c>
      <c r="G67" s="209">
        <f t="shared" si="62"/>
        <v>50</v>
      </c>
      <c r="H67" s="274">
        <f t="shared" si="63"/>
        <v>0</v>
      </c>
      <c r="I67" s="217">
        <f t="shared" si="64"/>
        <v>0</v>
      </c>
      <c r="J67" s="206">
        <v>5</v>
      </c>
      <c r="K67" s="206">
        <f t="shared" si="65"/>
        <v>250</v>
      </c>
      <c r="L67" s="206">
        <f t="shared" si="66"/>
        <v>0</v>
      </c>
      <c r="M67" s="204">
        <f t="shared" si="66"/>
        <v>0</v>
      </c>
      <c r="N67" s="239">
        <f>K67-M67</f>
        <v>250</v>
      </c>
      <c r="O67" s="113"/>
      <c r="P67" s="113"/>
      <c r="Q67" s="193">
        <f t="shared" si="48"/>
        <v>0</v>
      </c>
      <c r="R67" s="194">
        <f t="shared" si="49"/>
        <v>50</v>
      </c>
      <c r="S67" s="193">
        <f t="shared" si="67"/>
        <v>0</v>
      </c>
      <c r="T67" s="193">
        <v>0</v>
      </c>
      <c r="U67" s="193"/>
      <c r="V67" s="193"/>
      <c r="W67" s="193"/>
      <c r="X67" s="193"/>
      <c r="Y67" s="210"/>
      <c r="Z67" s="279"/>
      <c r="AB67" s="280"/>
      <c r="AC67" s="212"/>
      <c r="AD67" s="212"/>
    </row>
    <row r="68" spans="1:30" s="211" customFormat="1" ht="16.5" thickBot="1" x14ac:dyDescent="0.3">
      <c r="A68" s="242" t="s">
        <v>201</v>
      </c>
      <c r="B68" s="301" t="s">
        <v>102</v>
      </c>
      <c r="C68" s="243" t="s">
        <v>75</v>
      </c>
      <c r="D68" s="244">
        <v>657</v>
      </c>
      <c r="E68" s="245">
        <f>VLOOKUP(A68,'M. DE CÁLCULO'!$A$17:$N$843,12,0)</f>
        <v>0</v>
      </c>
      <c r="F68" s="246">
        <f t="shared" si="61"/>
        <v>0</v>
      </c>
      <c r="G68" s="247">
        <f t="shared" si="62"/>
        <v>657</v>
      </c>
      <c r="H68" s="275">
        <f t="shared" si="63"/>
        <v>0</v>
      </c>
      <c r="I68" s="253">
        <f t="shared" si="64"/>
        <v>0</v>
      </c>
      <c r="J68" s="248">
        <v>4.88</v>
      </c>
      <c r="K68" s="248">
        <f t="shared" si="65"/>
        <v>3206.16</v>
      </c>
      <c r="L68" s="248">
        <f t="shared" si="66"/>
        <v>0</v>
      </c>
      <c r="M68" s="249">
        <f t="shared" si="66"/>
        <v>0</v>
      </c>
      <c r="N68" s="250">
        <f>K68-M68</f>
        <v>3206.16</v>
      </c>
      <c r="O68" s="113"/>
      <c r="P68" s="113"/>
      <c r="Q68" s="193">
        <f t="shared" si="48"/>
        <v>0</v>
      </c>
      <c r="R68" s="194">
        <f t="shared" si="49"/>
        <v>657</v>
      </c>
      <c r="S68" s="193">
        <f t="shared" si="67"/>
        <v>0</v>
      </c>
      <c r="T68" s="193">
        <v>0</v>
      </c>
      <c r="U68" s="193"/>
      <c r="V68" s="193"/>
      <c r="W68" s="193"/>
      <c r="X68" s="193"/>
      <c r="Y68" s="210"/>
      <c r="Z68" s="279"/>
      <c r="AB68" s="280"/>
      <c r="AC68" s="212"/>
      <c r="AD68" s="212"/>
    </row>
    <row r="69" spans="1:30" ht="16.5" thickBot="1" x14ac:dyDescent="0.3">
      <c r="A69" s="124"/>
      <c r="B69" s="125"/>
      <c r="C69" s="124"/>
      <c r="D69" s="153"/>
      <c r="E69" s="145"/>
      <c r="F69" s="154"/>
      <c r="G69" s="155"/>
      <c r="H69" s="392" t="s">
        <v>50</v>
      </c>
      <c r="I69" s="393"/>
      <c r="J69" s="394"/>
      <c r="K69" s="233">
        <f>(K13+K21+K25+K29+K32+K34+K36+K51+K56+K59+K62+K64)</f>
        <v>335000</v>
      </c>
      <c r="L69" s="233">
        <f>SUM(L13:L68)/2</f>
        <v>124193.35</v>
      </c>
      <c r="M69" s="233">
        <f>SUM(M13:M68)/2</f>
        <v>200036.42</v>
      </c>
      <c r="N69" s="233">
        <f>SUM(N13:N68)/2</f>
        <v>134963.57999999999</v>
      </c>
      <c r="O69" s="113"/>
      <c r="P69" s="113"/>
      <c r="Q69" s="197"/>
      <c r="R69" s="197"/>
      <c r="S69" s="198"/>
      <c r="T69" s="126"/>
      <c r="U69" s="126"/>
      <c r="V69" s="126"/>
      <c r="W69" s="126"/>
      <c r="X69" s="127"/>
    </row>
    <row r="70" spans="1:30" ht="16.5" thickBot="1" x14ac:dyDescent="0.3">
      <c r="A70" s="124"/>
      <c r="B70" s="125"/>
      <c r="C70" s="124"/>
      <c r="D70" s="153"/>
      <c r="E70" s="145"/>
      <c r="F70" s="154"/>
      <c r="G70" s="155"/>
      <c r="H70" s="145"/>
      <c r="I70" s="145"/>
      <c r="J70" s="156"/>
      <c r="K70" s="156"/>
      <c r="L70" s="156"/>
      <c r="M70" s="156"/>
      <c r="N70" s="156"/>
      <c r="O70" s="113"/>
      <c r="P70" s="113"/>
      <c r="Q70" s="197"/>
      <c r="R70" s="197"/>
      <c r="S70" s="198"/>
      <c r="T70" s="126"/>
      <c r="U70" s="126"/>
      <c r="V70" s="126"/>
      <c r="W70" s="126"/>
      <c r="X70" s="127"/>
    </row>
    <row r="71" spans="1:30" ht="16.5" thickBot="1" x14ac:dyDescent="0.3">
      <c r="A71" s="128"/>
      <c r="B71" s="395" t="s">
        <v>205</v>
      </c>
      <c r="C71" s="396"/>
      <c r="D71" s="396"/>
      <c r="E71" s="396"/>
      <c r="J71" s="158"/>
      <c r="M71" s="159"/>
      <c r="N71" s="158"/>
      <c r="T71" s="111"/>
    </row>
    <row r="72" spans="1:30" x14ac:dyDescent="0.2">
      <c r="A72" s="128"/>
      <c r="B72" s="131" t="s">
        <v>207</v>
      </c>
      <c r="C72" s="397" t="s">
        <v>32</v>
      </c>
      <c r="D72" s="398"/>
      <c r="E72" s="399"/>
      <c r="F72" s="160"/>
      <c r="G72" s="160"/>
      <c r="J72" s="158"/>
      <c r="M72" s="159"/>
      <c r="N72" s="158"/>
      <c r="Q72" s="199"/>
      <c r="R72" s="199"/>
      <c r="S72" s="297" t="s">
        <v>219</v>
      </c>
      <c r="T72" s="158">
        <v>335000</v>
      </c>
    </row>
    <row r="73" spans="1:30" x14ac:dyDescent="0.2">
      <c r="A73" s="128"/>
      <c r="B73" s="132" t="s">
        <v>37</v>
      </c>
      <c r="C73" s="133" t="s">
        <v>51</v>
      </c>
      <c r="D73" s="378">
        <f>K69</f>
        <v>335000</v>
      </c>
      <c r="E73" s="379"/>
      <c r="F73" s="161"/>
      <c r="N73" s="158"/>
      <c r="S73" s="297" t="s">
        <v>220</v>
      </c>
      <c r="T73" s="158">
        <v>17695.490000000002</v>
      </c>
    </row>
    <row r="74" spans="1:30" x14ac:dyDescent="0.2">
      <c r="A74" s="128"/>
      <c r="B74" s="132" t="s">
        <v>52</v>
      </c>
      <c r="C74" s="133" t="s">
        <v>51</v>
      </c>
      <c r="D74" s="378">
        <f>L69</f>
        <v>124193.35</v>
      </c>
      <c r="E74" s="379"/>
      <c r="F74" s="161"/>
      <c r="N74" s="158"/>
      <c r="S74" s="298" t="s">
        <v>221</v>
      </c>
      <c r="T74" s="159">
        <f>T72-T73</f>
        <v>317304.51</v>
      </c>
    </row>
    <row r="75" spans="1:30" x14ac:dyDescent="0.2">
      <c r="A75" s="128"/>
      <c r="B75" s="132" t="s">
        <v>53</v>
      </c>
      <c r="C75" s="133" t="s">
        <v>54</v>
      </c>
      <c r="D75" s="348">
        <f>(L69/K69)</f>
        <v>0.37069999999999997</v>
      </c>
      <c r="E75" s="349"/>
      <c r="F75" s="161"/>
      <c r="G75" s="161"/>
      <c r="J75" s="158"/>
      <c r="N75" s="158"/>
      <c r="S75" s="298" t="s">
        <v>212</v>
      </c>
      <c r="T75" s="159">
        <v>71774.69</v>
      </c>
    </row>
    <row r="76" spans="1:30" x14ac:dyDescent="0.2">
      <c r="A76" s="128"/>
      <c r="B76" s="132" t="s">
        <v>38</v>
      </c>
      <c r="C76" s="133" t="s">
        <v>54</v>
      </c>
      <c r="D76" s="348">
        <f>(M69/K69)</f>
        <v>0.59709999999999996</v>
      </c>
      <c r="E76" s="349"/>
      <c r="F76" s="161"/>
      <c r="G76" s="161"/>
      <c r="J76" s="158"/>
      <c r="N76" s="158"/>
      <c r="S76" s="297"/>
      <c r="T76" s="159"/>
    </row>
    <row r="77" spans="1:30" ht="16.5" thickBot="1" x14ac:dyDescent="0.25">
      <c r="A77" s="128"/>
      <c r="B77" s="220" t="s">
        <v>39</v>
      </c>
      <c r="C77" s="221" t="s">
        <v>51</v>
      </c>
      <c r="D77" s="350">
        <f>N69</f>
        <v>134963.57999999999</v>
      </c>
      <c r="E77" s="351"/>
      <c r="F77" s="161"/>
      <c r="G77" s="161"/>
      <c r="J77" s="158"/>
      <c r="N77" s="158"/>
      <c r="O77" s="158"/>
      <c r="P77" s="297"/>
      <c r="Q77" s="158"/>
      <c r="S77" s="297" t="s">
        <v>222</v>
      </c>
      <c r="T77" s="159">
        <f>T75/T74</f>
        <v>0.23</v>
      </c>
    </row>
    <row r="78" spans="1:30" ht="16.5" thickBot="1" x14ac:dyDescent="0.25">
      <c r="A78" s="128"/>
      <c r="B78" s="161"/>
      <c r="C78" s="161"/>
      <c r="D78" s="161"/>
      <c r="E78" s="161"/>
      <c r="F78" s="161"/>
      <c r="G78" s="161"/>
      <c r="J78" s="158"/>
      <c r="N78" s="158"/>
      <c r="O78" s="158"/>
      <c r="P78" s="297"/>
      <c r="Q78" s="158"/>
      <c r="R78" s="110"/>
      <c r="S78" s="219"/>
    </row>
    <row r="79" spans="1:30" x14ac:dyDescent="0.25">
      <c r="A79" s="128"/>
      <c r="B79" s="352" t="s">
        <v>206</v>
      </c>
      <c r="C79" s="353"/>
      <c r="D79" s="353"/>
      <c r="E79" s="353"/>
      <c r="F79" s="353"/>
      <c r="G79" s="353"/>
      <c r="H79" s="353"/>
      <c r="I79" s="354"/>
      <c r="J79" s="162"/>
      <c r="N79" s="158"/>
      <c r="O79" s="157"/>
      <c r="P79" s="307"/>
      <c r="Q79" s="308"/>
    </row>
    <row r="80" spans="1:30" ht="31.5" x14ac:dyDescent="0.25">
      <c r="A80" s="128"/>
      <c r="B80" s="134" t="s">
        <v>2</v>
      </c>
      <c r="C80" s="355" t="s">
        <v>36</v>
      </c>
      <c r="D80" s="355"/>
      <c r="E80" s="201" t="s">
        <v>40</v>
      </c>
      <c r="F80" s="201" t="s">
        <v>41</v>
      </c>
      <c r="G80" s="356" t="s">
        <v>42</v>
      </c>
      <c r="H80" s="356"/>
      <c r="I80" s="163" t="s">
        <v>43</v>
      </c>
      <c r="J80" s="164"/>
      <c r="K80" s="165"/>
      <c r="M80" s="310"/>
      <c r="N80" s="158"/>
      <c r="O80" s="157"/>
      <c r="P80" s="306"/>
      <c r="Q80" s="305"/>
    </row>
    <row r="81" spans="1:17" x14ac:dyDescent="0.2">
      <c r="B81" s="215" t="str">
        <f>B13</f>
        <v>SERVIÇOS PRELIMINARES</v>
      </c>
      <c r="C81" s="342">
        <f>K13</f>
        <v>23460.26</v>
      </c>
      <c r="D81" s="343"/>
      <c r="E81" s="216">
        <f>L13</f>
        <v>6195.01</v>
      </c>
      <c r="F81" s="217">
        <f>E81/C81</f>
        <v>0.2641</v>
      </c>
      <c r="G81" s="342">
        <f>M13</f>
        <v>16027.88</v>
      </c>
      <c r="H81" s="343"/>
      <c r="I81" s="222">
        <f>G81/C81</f>
        <v>0.68320000000000003</v>
      </c>
      <c r="J81" s="161"/>
      <c r="K81" s="161"/>
      <c r="M81" s="161"/>
      <c r="O81" s="157"/>
      <c r="P81" s="297"/>
      <c r="Q81" s="157"/>
    </row>
    <row r="82" spans="1:17" x14ac:dyDescent="0.2">
      <c r="B82" s="215" t="str">
        <f>B21</f>
        <v>MOVIMENTO DE TERRA</v>
      </c>
      <c r="C82" s="342">
        <f>K21</f>
        <v>3292.14</v>
      </c>
      <c r="D82" s="343"/>
      <c r="E82" s="216">
        <f>L21</f>
        <v>26.88</v>
      </c>
      <c r="F82" s="217">
        <f>E82/C82</f>
        <v>8.2000000000000007E-3</v>
      </c>
      <c r="G82" s="342">
        <f>M21</f>
        <v>3118.72</v>
      </c>
      <c r="H82" s="343"/>
      <c r="I82" s="222">
        <f>G82/C82</f>
        <v>0.94730000000000003</v>
      </c>
      <c r="J82" s="161"/>
      <c r="K82" s="161"/>
      <c r="M82" s="161"/>
      <c r="O82" s="297"/>
      <c r="P82" s="157"/>
      <c r="Q82" s="157"/>
    </row>
    <row r="83" spans="1:17" x14ac:dyDescent="0.25">
      <c r="A83" s="128"/>
      <c r="B83" s="215" t="str">
        <f>B25</f>
        <v>FUNDAÇÃO</v>
      </c>
      <c r="C83" s="342">
        <f>K25</f>
        <v>11915.13</v>
      </c>
      <c r="D83" s="343"/>
      <c r="E83" s="216">
        <f>L25</f>
        <v>342.38</v>
      </c>
      <c r="F83" s="217">
        <f>E83/C83</f>
        <v>2.87E-2</v>
      </c>
      <c r="G83" s="342">
        <f>M25</f>
        <v>11497.88</v>
      </c>
      <c r="H83" s="343"/>
      <c r="I83" s="222">
        <f>G83/C83</f>
        <v>0.96499999999999997</v>
      </c>
      <c r="J83" s="166"/>
      <c r="K83" s="166"/>
      <c r="M83" s="166"/>
      <c r="N83" s="158"/>
      <c r="O83" s="156"/>
      <c r="P83" s="156"/>
      <c r="Q83" s="156"/>
    </row>
    <row r="84" spans="1:17" x14ac:dyDescent="0.2">
      <c r="A84" s="128"/>
      <c r="B84" s="215" t="str">
        <f>B29</f>
        <v>ESTRUTURA</v>
      </c>
      <c r="C84" s="342">
        <f>K29</f>
        <v>194187.12</v>
      </c>
      <c r="D84" s="343"/>
      <c r="E84" s="216">
        <f>L29</f>
        <v>115035.58</v>
      </c>
      <c r="F84" s="217">
        <f>E84/C84</f>
        <v>0.59240000000000004</v>
      </c>
      <c r="G84" s="342">
        <f>M29</f>
        <v>160136.01999999999</v>
      </c>
      <c r="H84" s="343"/>
      <c r="I84" s="222">
        <f t="shared" ref="I84:I89" si="68">G84/C84</f>
        <v>0.8246</v>
      </c>
      <c r="J84" s="166"/>
      <c r="K84" s="166"/>
      <c r="L84" s="166"/>
      <c r="M84" s="166"/>
      <c r="N84" s="158"/>
    </row>
    <row r="85" spans="1:17" x14ac:dyDescent="0.2">
      <c r="A85" s="128"/>
      <c r="B85" s="218" t="str">
        <f>B32</f>
        <v>PAREDES E PAINÉIS</v>
      </c>
      <c r="C85" s="342">
        <f>K32</f>
        <v>4140.29</v>
      </c>
      <c r="D85" s="343"/>
      <c r="E85" s="216">
        <f>L32</f>
        <v>303.82</v>
      </c>
      <c r="F85" s="217">
        <f t="shared" ref="F85:F89" si="69">E85/C85</f>
        <v>7.3400000000000007E-2</v>
      </c>
      <c r="G85" s="342">
        <f>M32</f>
        <v>4129.08</v>
      </c>
      <c r="H85" s="343"/>
      <c r="I85" s="222">
        <f t="shared" si="68"/>
        <v>0.99729999999999996</v>
      </c>
      <c r="J85" s="166"/>
      <c r="K85" s="166"/>
      <c r="L85" s="166"/>
      <c r="M85" s="166"/>
      <c r="N85" s="158"/>
    </row>
    <row r="86" spans="1:17" x14ac:dyDescent="0.2">
      <c r="A86" s="128"/>
      <c r="B86" s="215" t="str">
        <f>B34</f>
        <v>COBERTURA</v>
      </c>
      <c r="C86" s="342">
        <f>K34</f>
        <v>53217</v>
      </c>
      <c r="D86" s="343"/>
      <c r="E86" s="216">
        <f>L34</f>
        <v>0</v>
      </c>
      <c r="F86" s="217">
        <f t="shared" si="69"/>
        <v>0</v>
      </c>
      <c r="G86" s="342">
        <f>O34</f>
        <v>0</v>
      </c>
      <c r="H86" s="343"/>
      <c r="I86" s="222">
        <f t="shared" si="68"/>
        <v>0</v>
      </c>
      <c r="J86" s="166"/>
      <c r="K86" s="166"/>
      <c r="L86" s="166"/>
      <c r="M86" s="166"/>
      <c r="N86" s="158"/>
    </row>
    <row r="87" spans="1:17" x14ac:dyDescent="0.2">
      <c r="A87" s="128"/>
      <c r="B87" s="215" t="str">
        <f>B36</f>
        <v>INSTALAÇÕES ELÉTRICAS</v>
      </c>
      <c r="C87" s="342">
        <f>K36</f>
        <v>18336.48</v>
      </c>
      <c r="D87" s="343"/>
      <c r="E87" s="216">
        <f>L36</f>
        <v>0</v>
      </c>
      <c r="F87" s="217">
        <f>E87/C87</f>
        <v>0</v>
      </c>
      <c r="G87" s="342">
        <f>M36</f>
        <v>0</v>
      </c>
      <c r="H87" s="343"/>
      <c r="I87" s="222">
        <f t="shared" si="68"/>
        <v>0</v>
      </c>
      <c r="J87" s="166"/>
      <c r="K87" s="166"/>
      <c r="L87" s="166"/>
      <c r="M87" s="166"/>
      <c r="N87" s="158"/>
    </row>
    <row r="88" spans="1:17" x14ac:dyDescent="0.2">
      <c r="A88" s="128"/>
      <c r="B88" s="218" t="str">
        <f>B51</f>
        <v>INSTALAÇÕES HIDROSSANITÁRIAS</v>
      </c>
      <c r="C88" s="342">
        <f>K51</f>
        <v>15542.66</v>
      </c>
      <c r="D88" s="343"/>
      <c r="E88" s="216">
        <f>L51</f>
        <v>0</v>
      </c>
      <c r="F88" s="217">
        <f t="shared" si="69"/>
        <v>0</v>
      </c>
      <c r="G88" s="342">
        <f>M51</f>
        <v>0</v>
      </c>
      <c r="H88" s="343"/>
      <c r="I88" s="222">
        <f t="shared" si="68"/>
        <v>0</v>
      </c>
      <c r="J88" s="166"/>
      <c r="K88" s="166"/>
      <c r="L88" s="166"/>
      <c r="M88" s="166"/>
      <c r="N88" s="158"/>
    </row>
    <row r="89" spans="1:17" x14ac:dyDescent="0.2">
      <c r="A89" s="128"/>
      <c r="B89" s="218" t="str">
        <f>B56</f>
        <v>PAVIMENTAÇÃO</v>
      </c>
      <c r="C89" s="342">
        <f>K56</f>
        <v>3127.23</v>
      </c>
      <c r="D89" s="343"/>
      <c r="E89" s="216">
        <f>L56</f>
        <v>0</v>
      </c>
      <c r="F89" s="217">
        <f t="shared" si="69"/>
        <v>0</v>
      </c>
      <c r="G89" s="342">
        <f>M56</f>
        <v>2436.9899999999998</v>
      </c>
      <c r="H89" s="343"/>
      <c r="I89" s="222">
        <f t="shared" si="68"/>
        <v>0.77929999999999999</v>
      </c>
      <c r="J89" s="166"/>
      <c r="K89" s="166"/>
      <c r="L89" s="166"/>
      <c r="M89" s="166"/>
      <c r="N89" s="158"/>
    </row>
    <row r="90" spans="1:17" x14ac:dyDescent="0.2">
      <c r="A90" s="128"/>
      <c r="B90" s="218" t="str">
        <f>B59</f>
        <v>REVESTIMENTOS</v>
      </c>
      <c r="C90" s="342">
        <f>K59</f>
        <v>2295.91</v>
      </c>
      <c r="D90" s="343"/>
      <c r="E90" s="216">
        <f>L59</f>
        <v>2289.6799999999998</v>
      </c>
      <c r="F90" s="217">
        <f t="shared" ref="F90:F92" si="70">E90/C90</f>
        <v>0.99729999999999996</v>
      </c>
      <c r="G90" s="342">
        <f>M59</f>
        <v>2289.6799999999998</v>
      </c>
      <c r="H90" s="343"/>
      <c r="I90" s="222">
        <f t="shared" ref="I90:I92" si="71">G90/C90</f>
        <v>0.99729999999999996</v>
      </c>
      <c r="J90" s="166"/>
      <c r="K90" s="166"/>
      <c r="L90" s="166"/>
      <c r="M90" s="166"/>
      <c r="N90" s="158"/>
    </row>
    <row r="91" spans="1:17" x14ac:dyDescent="0.2">
      <c r="A91" s="128"/>
      <c r="B91" s="218" t="str">
        <f>B62</f>
        <v>PINTURA</v>
      </c>
      <c r="C91" s="342">
        <f>K62</f>
        <v>379.38</v>
      </c>
      <c r="D91" s="343"/>
      <c r="E91" s="216">
        <f>L62</f>
        <v>0</v>
      </c>
      <c r="F91" s="217">
        <f t="shared" si="70"/>
        <v>0</v>
      </c>
      <c r="G91" s="342">
        <f>M62</f>
        <v>0</v>
      </c>
      <c r="H91" s="343"/>
      <c r="I91" s="222">
        <f t="shared" si="71"/>
        <v>0</v>
      </c>
      <c r="J91" s="166"/>
      <c r="K91" s="166"/>
      <c r="L91" s="166"/>
      <c r="M91" s="166"/>
      <c r="N91" s="158"/>
    </row>
    <row r="92" spans="1:17" ht="16.5" thickBot="1" x14ac:dyDescent="0.25">
      <c r="A92" s="128"/>
      <c r="B92" s="251" t="str">
        <f>B64</f>
        <v>SERVIÇOS COMPLEMENTARES</v>
      </c>
      <c r="C92" s="344">
        <f>K64</f>
        <v>5106.3999999999996</v>
      </c>
      <c r="D92" s="345"/>
      <c r="E92" s="252">
        <f>L64</f>
        <v>0</v>
      </c>
      <c r="F92" s="253">
        <f t="shared" si="70"/>
        <v>0</v>
      </c>
      <c r="G92" s="344">
        <f>M64</f>
        <v>400.17</v>
      </c>
      <c r="H92" s="345"/>
      <c r="I92" s="254">
        <f t="shared" si="71"/>
        <v>7.8399999999999997E-2</v>
      </c>
      <c r="J92" s="166"/>
      <c r="K92" s="166"/>
      <c r="L92" s="166"/>
      <c r="M92" s="166"/>
      <c r="N92" s="158"/>
    </row>
    <row r="93" spans="1:17" ht="16.5" thickBot="1" x14ac:dyDescent="0.25">
      <c r="A93" s="128"/>
      <c r="B93" s="256" t="s">
        <v>44</v>
      </c>
      <c r="C93" s="346">
        <f>SUM(C81:D92)</f>
        <v>335000</v>
      </c>
      <c r="D93" s="347">
        <f>SUBTOTAL(9,D69:D87)</f>
        <v>594157.89780000004</v>
      </c>
      <c r="E93" s="255">
        <f>SUM(E81:E92)</f>
        <v>124193.35</v>
      </c>
      <c r="F93" s="167"/>
      <c r="G93" s="346">
        <f>SUM(G81:H92)</f>
        <v>200036.42</v>
      </c>
      <c r="H93" s="357"/>
      <c r="I93" s="167"/>
      <c r="J93" s="168"/>
      <c r="K93" s="168"/>
      <c r="L93" s="168"/>
      <c r="M93" s="168"/>
      <c r="N93" s="158"/>
    </row>
  </sheetData>
  <autoFilter ref="A12:W69" xr:uid="{00000000-0009-0000-0000-000001000000}"/>
  <mergeCells count="54">
    <mergeCell ref="D73:E73"/>
    <mergeCell ref="D75:E75"/>
    <mergeCell ref="D74:E74"/>
    <mergeCell ref="A10:N10"/>
    <mergeCell ref="A11:A12"/>
    <mergeCell ref="B11:B12"/>
    <mergeCell ref="C11:G11"/>
    <mergeCell ref="H11:I11"/>
    <mergeCell ref="J11:N11"/>
    <mergeCell ref="H69:J69"/>
    <mergeCell ref="B71:E71"/>
    <mergeCell ref="C72:E72"/>
    <mergeCell ref="C8:D8"/>
    <mergeCell ref="A1:N2"/>
    <mergeCell ref="A3:N3"/>
    <mergeCell ref="A4:N4"/>
    <mergeCell ref="A5:N5"/>
    <mergeCell ref="A6:N6"/>
    <mergeCell ref="B8:B9"/>
    <mergeCell ref="A8:A9"/>
    <mergeCell ref="K8:K9"/>
    <mergeCell ref="C9:D9"/>
    <mergeCell ref="L8:N9"/>
    <mergeCell ref="C93:D93"/>
    <mergeCell ref="C88:D88"/>
    <mergeCell ref="D76:E76"/>
    <mergeCell ref="D77:E77"/>
    <mergeCell ref="B79:I79"/>
    <mergeCell ref="C80:D80"/>
    <mergeCell ref="G80:H80"/>
    <mergeCell ref="G84:H84"/>
    <mergeCell ref="G88:H88"/>
    <mergeCell ref="C86:D86"/>
    <mergeCell ref="G86:H86"/>
    <mergeCell ref="C89:D89"/>
    <mergeCell ref="G89:H89"/>
    <mergeCell ref="G87:H87"/>
    <mergeCell ref="C87:D87"/>
    <mergeCell ref="G93:H93"/>
    <mergeCell ref="G90:H90"/>
    <mergeCell ref="G91:H91"/>
    <mergeCell ref="G92:H92"/>
    <mergeCell ref="C81:D81"/>
    <mergeCell ref="G81:H81"/>
    <mergeCell ref="C90:D90"/>
    <mergeCell ref="C91:D91"/>
    <mergeCell ref="C92:D92"/>
    <mergeCell ref="C85:D85"/>
    <mergeCell ref="G85:H85"/>
    <mergeCell ref="C83:D83"/>
    <mergeCell ref="G83:H83"/>
    <mergeCell ref="C82:D82"/>
    <mergeCell ref="G82:H82"/>
    <mergeCell ref="C84:D84"/>
  </mergeCells>
  <phoneticPr fontId="7" type="noConversion"/>
  <conditionalFormatting sqref="A14:N68">
    <cfRule type="expression" dxfId="39" priority="9">
      <formula>$F14&gt;$D14</formula>
    </cfRule>
    <cfRule type="expression" dxfId="38" priority="10">
      <formula>$E14&lt;0</formula>
    </cfRule>
    <cfRule type="expression" dxfId="37" priority="11">
      <formula>$E14&gt;0</formula>
    </cfRule>
  </conditionalFormatting>
  <conditionalFormatting sqref="I81:I92">
    <cfRule type="cellIs" dxfId="36" priority="1" operator="equal">
      <formula>0</formula>
    </cfRule>
    <cfRule type="cellIs" dxfId="35" priority="2" operator="equal">
      <formula>1</formula>
    </cfRule>
  </conditionalFormatting>
  <printOptions horizontalCentered="1"/>
  <pageMargins left="0.23622047244094491" right="0.23622047244094491" top="0.55118110236220474" bottom="0.39370078740157483" header="0.31496062992125984" footer="0.31496062992125984"/>
  <pageSetup paperSize="9" scale="47" fitToHeight="0" orientation="landscape" r:id="rId1"/>
  <headerFooter alignWithMargins="0">
    <oddFooter>&amp;RPÁGINA &amp;P/&amp;N</oddFooter>
  </headerFooter>
  <drawing r:id="rId2"/>
  <legacyDrawing r:id="rId3"/>
  <oleObjects>
    <mc:AlternateContent xmlns:mc="http://schemas.openxmlformats.org/markup-compatibility/2006">
      <mc:Choice Requires="x14">
        <oleObject progId="Word.Document.8" shapeId="31745" r:id="rId4">
          <objectPr defaultSize="0" autoPict="0" r:id="rId5">
            <anchor moveWithCells="1">
              <from>
                <xdr:col>1</xdr:col>
                <xdr:colOff>1866900</xdr:colOff>
                <xdr:row>0</xdr:row>
                <xdr:rowOff>95250</xdr:rowOff>
              </from>
              <to>
                <xdr:col>1</xdr:col>
                <xdr:colOff>3419475</xdr:colOff>
                <xdr:row>6</xdr:row>
                <xdr:rowOff>85725</xdr:rowOff>
              </to>
            </anchor>
          </objectPr>
        </oleObject>
      </mc:Choice>
      <mc:Fallback>
        <oleObject progId="Word.Document.8" shapeId="31745"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249977111117893"/>
    <pageSetUpPr fitToPage="1"/>
  </sheetPr>
  <dimension ref="A1:DS177"/>
  <sheetViews>
    <sheetView showGridLines="0" view="pageBreakPreview" zoomScale="85" zoomScaleNormal="100" zoomScaleSheetLayoutView="85" workbookViewId="0">
      <selection activeCell="O8" sqref="O8"/>
    </sheetView>
  </sheetViews>
  <sheetFormatPr defaultRowHeight="11.25" x14ac:dyDescent="0.2"/>
  <cols>
    <col min="1" max="1" width="9.28515625" style="106" customWidth="1"/>
    <col min="2" max="2" width="66.42578125" style="80" customWidth="1"/>
    <col min="3" max="3" width="9" style="29" bestFit="1" customWidth="1"/>
    <col min="4" max="4" width="8.140625" style="29" bestFit="1" customWidth="1"/>
    <col min="5" max="6" width="6.5703125" style="29" bestFit="1" customWidth="1"/>
    <col min="7" max="8" width="6.5703125" style="29" customWidth="1"/>
    <col min="9" max="9" width="8.28515625" style="29" bestFit="1" customWidth="1"/>
    <col min="10" max="10" width="9.140625" style="29" bestFit="1" customWidth="1"/>
    <col min="11" max="12" width="13.85546875" style="29" bestFit="1" customWidth="1"/>
    <col min="13" max="13" width="13.140625" style="29" bestFit="1" customWidth="1"/>
    <col min="14" max="14" width="10.85546875" style="30" bestFit="1" customWidth="1"/>
    <col min="15" max="15" width="20.28515625" style="62" customWidth="1"/>
    <col min="16" max="16" width="14.28515625" style="31" bestFit="1" customWidth="1"/>
    <col min="17" max="17" width="18.28515625" style="27" customWidth="1"/>
    <col min="18" max="18" width="9.140625" style="27"/>
    <col min="19" max="19" width="26.5703125" style="27" customWidth="1"/>
    <col min="20" max="20" width="15.85546875" style="27" bestFit="1" customWidth="1"/>
    <col min="21" max="21" width="15" style="27" customWidth="1"/>
    <col min="22" max="22" width="12.7109375" style="27" customWidth="1"/>
    <col min="23" max="255" width="9.140625" style="27"/>
    <col min="256" max="256" width="9.28515625" style="27" customWidth="1"/>
    <col min="257" max="257" width="37.42578125" style="27" customWidth="1"/>
    <col min="258" max="258" width="9.140625" style="27" customWidth="1"/>
    <col min="259" max="259" width="6.5703125" style="27" customWidth="1"/>
    <col min="260" max="260" width="9.140625" style="27"/>
    <col min="261" max="261" width="5.28515625" style="27" customWidth="1"/>
    <col min="262" max="262" width="8" style="27" customWidth="1"/>
    <col min="263" max="263" width="6.42578125" style="27" customWidth="1"/>
    <col min="264" max="265" width="7.85546875" style="27" customWidth="1"/>
    <col min="266" max="266" width="9.28515625" style="27" customWidth="1"/>
    <col min="267" max="267" width="20.85546875" style="27" bestFit="1" customWidth="1"/>
    <col min="268" max="268" width="14.7109375" style="27" customWidth="1"/>
    <col min="269" max="269" width="9.140625" style="27"/>
    <col min="270" max="270" width="11.28515625" style="27" customWidth="1"/>
    <col min="271" max="271" width="16.85546875" style="27" customWidth="1"/>
    <col min="272" max="511" width="9.140625" style="27"/>
    <col min="512" max="512" width="9.28515625" style="27" customWidth="1"/>
    <col min="513" max="513" width="37.42578125" style="27" customWidth="1"/>
    <col min="514" max="514" width="9.140625" style="27" customWidth="1"/>
    <col min="515" max="515" width="6.5703125" style="27" customWidth="1"/>
    <col min="516" max="516" width="9.140625" style="27"/>
    <col min="517" max="517" width="5.28515625" style="27" customWidth="1"/>
    <col min="518" max="518" width="8" style="27" customWidth="1"/>
    <col min="519" max="519" width="6.42578125" style="27" customWidth="1"/>
    <col min="520" max="521" width="7.85546875" style="27" customWidth="1"/>
    <col min="522" max="522" width="9.28515625" style="27" customWidth="1"/>
    <col min="523" max="523" width="20.85546875" style="27" bestFit="1" customWidth="1"/>
    <col min="524" max="524" width="14.7109375" style="27" customWidth="1"/>
    <col min="525" max="525" width="9.140625" style="27"/>
    <col min="526" max="526" width="11.28515625" style="27" customWidth="1"/>
    <col min="527" max="527" width="16.85546875" style="27" customWidth="1"/>
    <col min="528" max="767" width="9.140625" style="27"/>
    <col min="768" max="768" width="9.28515625" style="27" customWidth="1"/>
    <col min="769" max="769" width="37.42578125" style="27" customWidth="1"/>
    <col min="770" max="770" width="9.140625" style="27" customWidth="1"/>
    <col min="771" max="771" width="6.5703125" style="27" customWidth="1"/>
    <col min="772" max="772" width="9.140625" style="27"/>
    <col min="773" max="773" width="5.28515625" style="27" customWidth="1"/>
    <col min="774" max="774" width="8" style="27" customWidth="1"/>
    <col min="775" max="775" width="6.42578125" style="27" customWidth="1"/>
    <col min="776" max="777" width="7.85546875" style="27" customWidth="1"/>
    <col min="778" max="778" width="9.28515625" style="27" customWidth="1"/>
    <col min="779" max="779" width="20.85546875" style="27" bestFit="1" customWidth="1"/>
    <col min="780" max="780" width="14.7109375" style="27" customWidth="1"/>
    <col min="781" max="781" width="9.140625" style="27"/>
    <col min="782" max="782" width="11.28515625" style="27" customWidth="1"/>
    <col min="783" max="783" width="16.85546875" style="27" customWidth="1"/>
    <col min="784" max="1023" width="9.140625" style="27"/>
    <col min="1024" max="1024" width="9.28515625" style="27" customWidth="1"/>
    <col min="1025" max="1025" width="37.42578125" style="27" customWidth="1"/>
    <col min="1026" max="1026" width="9.140625" style="27" customWidth="1"/>
    <col min="1027" max="1027" width="6.5703125" style="27" customWidth="1"/>
    <col min="1028" max="1028" width="9.140625" style="27"/>
    <col min="1029" max="1029" width="5.28515625" style="27" customWidth="1"/>
    <col min="1030" max="1030" width="8" style="27" customWidth="1"/>
    <col min="1031" max="1031" width="6.42578125" style="27" customWidth="1"/>
    <col min="1032" max="1033" width="7.85546875" style="27" customWidth="1"/>
    <col min="1034" max="1034" width="9.28515625" style="27" customWidth="1"/>
    <col min="1035" max="1035" width="20.85546875" style="27" bestFit="1" customWidth="1"/>
    <col min="1036" max="1036" width="14.7109375" style="27" customWidth="1"/>
    <col min="1037" max="1037" width="9.140625" style="27"/>
    <col min="1038" max="1038" width="11.28515625" style="27" customWidth="1"/>
    <col min="1039" max="1039" width="16.85546875" style="27" customWidth="1"/>
    <col min="1040" max="1279" width="9.140625" style="27"/>
    <col min="1280" max="1280" width="9.28515625" style="27" customWidth="1"/>
    <col min="1281" max="1281" width="37.42578125" style="27" customWidth="1"/>
    <col min="1282" max="1282" width="9.140625" style="27" customWidth="1"/>
    <col min="1283" max="1283" width="6.5703125" style="27" customWidth="1"/>
    <col min="1284" max="1284" width="9.140625" style="27"/>
    <col min="1285" max="1285" width="5.28515625" style="27" customWidth="1"/>
    <col min="1286" max="1286" width="8" style="27" customWidth="1"/>
    <col min="1287" max="1287" width="6.42578125" style="27" customWidth="1"/>
    <col min="1288" max="1289" width="7.85546875" style="27" customWidth="1"/>
    <col min="1290" max="1290" width="9.28515625" style="27" customWidth="1"/>
    <col min="1291" max="1291" width="20.85546875" style="27" bestFit="1" customWidth="1"/>
    <col min="1292" max="1292" width="14.7109375" style="27" customWidth="1"/>
    <col min="1293" max="1293" width="9.140625" style="27"/>
    <col min="1294" max="1294" width="11.28515625" style="27" customWidth="1"/>
    <col min="1295" max="1295" width="16.85546875" style="27" customWidth="1"/>
    <col min="1296" max="1535" width="9.140625" style="27"/>
    <col min="1536" max="1536" width="9.28515625" style="27" customWidth="1"/>
    <col min="1537" max="1537" width="37.42578125" style="27" customWidth="1"/>
    <col min="1538" max="1538" width="9.140625" style="27" customWidth="1"/>
    <col min="1539" max="1539" width="6.5703125" style="27" customWidth="1"/>
    <col min="1540" max="1540" width="9.140625" style="27"/>
    <col min="1541" max="1541" width="5.28515625" style="27" customWidth="1"/>
    <col min="1542" max="1542" width="8" style="27" customWidth="1"/>
    <col min="1543" max="1543" width="6.42578125" style="27" customWidth="1"/>
    <col min="1544" max="1545" width="7.85546875" style="27" customWidth="1"/>
    <col min="1546" max="1546" width="9.28515625" style="27" customWidth="1"/>
    <col min="1547" max="1547" width="20.85546875" style="27" bestFit="1" customWidth="1"/>
    <col min="1548" max="1548" width="14.7109375" style="27" customWidth="1"/>
    <col min="1549" max="1549" width="9.140625" style="27"/>
    <col min="1550" max="1550" width="11.28515625" style="27" customWidth="1"/>
    <col min="1551" max="1551" width="16.85546875" style="27" customWidth="1"/>
    <col min="1552" max="1791" width="9.140625" style="27"/>
    <col min="1792" max="1792" width="9.28515625" style="27" customWidth="1"/>
    <col min="1793" max="1793" width="37.42578125" style="27" customWidth="1"/>
    <col min="1794" max="1794" width="9.140625" style="27" customWidth="1"/>
    <col min="1795" max="1795" width="6.5703125" style="27" customWidth="1"/>
    <col min="1796" max="1796" width="9.140625" style="27"/>
    <col min="1797" max="1797" width="5.28515625" style="27" customWidth="1"/>
    <col min="1798" max="1798" width="8" style="27" customWidth="1"/>
    <col min="1799" max="1799" width="6.42578125" style="27" customWidth="1"/>
    <col min="1800" max="1801" width="7.85546875" style="27" customWidth="1"/>
    <col min="1802" max="1802" width="9.28515625" style="27" customWidth="1"/>
    <col min="1803" max="1803" width="20.85546875" style="27" bestFit="1" customWidth="1"/>
    <col min="1804" max="1804" width="14.7109375" style="27" customWidth="1"/>
    <col min="1805" max="1805" width="9.140625" style="27"/>
    <col min="1806" max="1806" width="11.28515625" style="27" customWidth="1"/>
    <col min="1807" max="1807" width="16.85546875" style="27" customWidth="1"/>
    <col min="1808" max="2047" width="9.140625" style="27"/>
    <col min="2048" max="2048" width="9.28515625" style="27" customWidth="1"/>
    <col min="2049" max="2049" width="37.42578125" style="27" customWidth="1"/>
    <col min="2050" max="2050" width="9.140625" style="27" customWidth="1"/>
    <col min="2051" max="2051" width="6.5703125" style="27" customWidth="1"/>
    <col min="2052" max="2052" width="9.140625" style="27"/>
    <col min="2053" max="2053" width="5.28515625" style="27" customWidth="1"/>
    <col min="2054" max="2054" width="8" style="27" customWidth="1"/>
    <col min="2055" max="2055" width="6.42578125" style="27" customWidth="1"/>
    <col min="2056" max="2057" width="7.85546875" style="27" customWidth="1"/>
    <col min="2058" max="2058" width="9.28515625" style="27" customWidth="1"/>
    <col min="2059" max="2059" width="20.85546875" style="27" bestFit="1" customWidth="1"/>
    <col min="2060" max="2060" width="14.7109375" style="27" customWidth="1"/>
    <col min="2061" max="2061" width="9.140625" style="27"/>
    <col min="2062" max="2062" width="11.28515625" style="27" customWidth="1"/>
    <col min="2063" max="2063" width="16.85546875" style="27" customWidth="1"/>
    <col min="2064" max="2303" width="9.140625" style="27"/>
    <col min="2304" max="2304" width="9.28515625" style="27" customWidth="1"/>
    <col min="2305" max="2305" width="37.42578125" style="27" customWidth="1"/>
    <col min="2306" max="2306" width="9.140625" style="27" customWidth="1"/>
    <col min="2307" max="2307" width="6.5703125" style="27" customWidth="1"/>
    <col min="2308" max="2308" width="9.140625" style="27"/>
    <col min="2309" max="2309" width="5.28515625" style="27" customWidth="1"/>
    <col min="2310" max="2310" width="8" style="27" customWidth="1"/>
    <col min="2311" max="2311" width="6.42578125" style="27" customWidth="1"/>
    <col min="2312" max="2313" width="7.85546875" style="27" customWidth="1"/>
    <col min="2314" max="2314" width="9.28515625" style="27" customWidth="1"/>
    <col min="2315" max="2315" width="20.85546875" style="27" bestFit="1" customWidth="1"/>
    <col min="2316" max="2316" width="14.7109375" style="27" customWidth="1"/>
    <col min="2317" max="2317" width="9.140625" style="27"/>
    <col min="2318" max="2318" width="11.28515625" style="27" customWidth="1"/>
    <col min="2319" max="2319" width="16.85546875" style="27" customWidth="1"/>
    <col min="2320" max="2559" width="9.140625" style="27"/>
    <col min="2560" max="2560" width="9.28515625" style="27" customWidth="1"/>
    <col min="2561" max="2561" width="37.42578125" style="27" customWidth="1"/>
    <col min="2562" max="2562" width="9.140625" style="27" customWidth="1"/>
    <col min="2563" max="2563" width="6.5703125" style="27" customWidth="1"/>
    <col min="2564" max="2564" width="9.140625" style="27"/>
    <col min="2565" max="2565" width="5.28515625" style="27" customWidth="1"/>
    <col min="2566" max="2566" width="8" style="27" customWidth="1"/>
    <col min="2567" max="2567" width="6.42578125" style="27" customWidth="1"/>
    <col min="2568" max="2569" width="7.85546875" style="27" customWidth="1"/>
    <col min="2570" max="2570" width="9.28515625" style="27" customWidth="1"/>
    <col min="2571" max="2571" width="20.85546875" style="27" bestFit="1" customWidth="1"/>
    <col min="2572" max="2572" width="14.7109375" style="27" customWidth="1"/>
    <col min="2573" max="2573" width="9.140625" style="27"/>
    <col min="2574" max="2574" width="11.28515625" style="27" customWidth="1"/>
    <col min="2575" max="2575" width="16.85546875" style="27" customWidth="1"/>
    <col min="2576" max="2815" width="9.140625" style="27"/>
    <col min="2816" max="2816" width="9.28515625" style="27" customWidth="1"/>
    <col min="2817" max="2817" width="37.42578125" style="27" customWidth="1"/>
    <col min="2818" max="2818" width="9.140625" style="27" customWidth="1"/>
    <col min="2819" max="2819" width="6.5703125" style="27" customWidth="1"/>
    <col min="2820" max="2820" width="9.140625" style="27"/>
    <col min="2821" max="2821" width="5.28515625" style="27" customWidth="1"/>
    <col min="2822" max="2822" width="8" style="27" customWidth="1"/>
    <col min="2823" max="2823" width="6.42578125" style="27" customWidth="1"/>
    <col min="2824" max="2825" width="7.85546875" style="27" customWidth="1"/>
    <col min="2826" max="2826" width="9.28515625" style="27" customWidth="1"/>
    <col min="2827" max="2827" width="20.85546875" style="27" bestFit="1" customWidth="1"/>
    <col min="2828" max="2828" width="14.7109375" style="27" customWidth="1"/>
    <col min="2829" max="2829" width="9.140625" style="27"/>
    <col min="2830" max="2830" width="11.28515625" style="27" customWidth="1"/>
    <col min="2831" max="2831" width="16.85546875" style="27" customWidth="1"/>
    <col min="2832" max="3071" width="9.140625" style="27"/>
    <col min="3072" max="3072" width="9.28515625" style="27" customWidth="1"/>
    <col min="3073" max="3073" width="37.42578125" style="27" customWidth="1"/>
    <col min="3074" max="3074" width="9.140625" style="27" customWidth="1"/>
    <col min="3075" max="3075" width="6.5703125" style="27" customWidth="1"/>
    <col min="3076" max="3076" width="9.140625" style="27"/>
    <col min="3077" max="3077" width="5.28515625" style="27" customWidth="1"/>
    <col min="3078" max="3078" width="8" style="27" customWidth="1"/>
    <col min="3079" max="3079" width="6.42578125" style="27" customWidth="1"/>
    <col min="3080" max="3081" width="7.85546875" style="27" customWidth="1"/>
    <col min="3082" max="3082" width="9.28515625" style="27" customWidth="1"/>
    <col min="3083" max="3083" width="20.85546875" style="27" bestFit="1" customWidth="1"/>
    <col min="3084" max="3084" width="14.7109375" style="27" customWidth="1"/>
    <col min="3085" max="3085" width="9.140625" style="27"/>
    <col min="3086" max="3086" width="11.28515625" style="27" customWidth="1"/>
    <col min="3087" max="3087" width="16.85546875" style="27" customWidth="1"/>
    <col min="3088" max="3327" width="9.140625" style="27"/>
    <col min="3328" max="3328" width="9.28515625" style="27" customWidth="1"/>
    <col min="3329" max="3329" width="37.42578125" style="27" customWidth="1"/>
    <col min="3330" max="3330" width="9.140625" style="27" customWidth="1"/>
    <col min="3331" max="3331" width="6.5703125" style="27" customWidth="1"/>
    <col min="3332" max="3332" width="9.140625" style="27"/>
    <col min="3333" max="3333" width="5.28515625" style="27" customWidth="1"/>
    <col min="3334" max="3334" width="8" style="27" customWidth="1"/>
    <col min="3335" max="3335" width="6.42578125" style="27" customWidth="1"/>
    <col min="3336" max="3337" width="7.85546875" style="27" customWidth="1"/>
    <col min="3338" max="3338" width="9.28515625" style="27" customWidth="1"/>
    <col min="3339" max="3339" width="20.85546875" style="27" bestFit="1" customWidth="1"/>
    <col min="3340" max="3340" width="14.7109375" style="27" customWidth="1"/>
    <col min="3341" max="3341" width="9.140625" style="27"/>
    <col min="3342" max="3342" width="11.28515625" style="27" customWidth="1"/>
    <col min="3343" max="3343" width="16.85546875" style="27" customWidth="1"/>
    <col min="3344" max="3583" width="9.140625" style="27"/>
    <col min="3584" max="3584" width="9.28515625" style="27" customWidth="1"/>
    <col min="3585" max="3585" width="37.42578125" style="27" customWidth="1"/>
    <col min="3586" max="3586" width="9.140625" style="27" customWidth="1"/>
    <col min="3587" max="3587" width="6.5703125" style="27" customWidth="1"/>
    <col min="3588" max="3588" width="9.140625" style="27"/>
    <col min="3589" max="3589" width="5.28515625" style="27" customWidth="1"/>
    <col min="3590" max="3590" width="8" style="27" customWidth="1"/>
    <col min="3591" max="3591" width="6.42578125" style="27" customWidth="1"/>
    <col min="3592" max="3593" width="7.85546875" style="27" customWidth="1"/>
    <col min="3594" max="3594" width="9.28515625" style="27" customWidth="1"/>
    <col min="3595" max="3595" width="20.85546875" style="27" bestFit="1" customWidth="1"/>
    <col min="3596" max="3596" width="14.7109375" style="27" customWidth="1"/>
    <col min="3597" max="3597" width="9.140625" style="27"/>
    <col min="3598" max="3598" width="11.28515625" style="27" customWidth="1"/>
    <col min="3599" max="3599" width="16.85546875" style="27" customWidth="1"/>
    <col min="3600" max="3839" width="9.140625" style="27"/>
    <col min="3840" max="3840" width="9.28515625" style="27" customWidth="1"/>
    <col min="3841" max="3841" width="37.42578125" style="27" customWidth="1"/>
    <col min="3842" max="3842" width="9.140625" style="27" customWidth="1"/>
    <col min="3843" max="3843" width="6.5703125" style="27" customWidth="1"/>
    <col min="3844" max="3844" width="9.140625" style="27"/>
    <col min="3845" max="3845" width="5.28515625" style="27" customWidth="1"/>
    <col min="3846" max="3846" width="8" style="27" customWidth="1"/>
    <col min="3847" max="3847" width="6.42578125" style="27" customWidth="1"/>
    <col min="3848" max="3849" width="7.85546875" style="27" customWidth="1"/>
    <col min="3850" max="3850" width="9.28515625" style="27" customWidth="1"/>
    <col min="3851" max="3851" width="20.85546875" style="27" bestFit="1" customWidth="1"/>
    <col min="3852" max="3852" width="14.7109375" style="27" customWidth="1"/>
    <col min="3853" max="3853" width="9.140625" style="27"/>
    <col min="3854" max="3854" width="11.28515625" style="27" customWidth="1"/>
    <col min="3855" max="3855" width="16.85546875" style="27" customWidth="1"/>
    <col min="3856" max="4095" width="9.140625" style="27"/>
    <col min="4096" max="4096" width="9.28515625" style="27" customWidth="1"/>
    <col min="4097" max="4097" width="37.42578125" style="27" customWidth="1"/>
    <col min="4098" max="4098" width="9.140625" style="27" customWidth="1"/>
    <col min="4099" max="4099" width="6.5703125" style="27" customWidth="1"/>
    <col min="4100" max="4100" width="9.140625" style="27"/>
    <col min="4101" max="4101" width="5.28515625" style="27" customWidth="1"/>
    <col min="4102" max="4102" width="8" style="27" customWidth="1"/>
    <col min="4103" max="4103" width="6.42578125" style="27" customWidth="1"/>
    <col min="4104" max="4105" width="7.85546875" style="27" customWidth="1"/>
    <col min="4106" max="4106" width="9.28515625" style="27" customWidth="1"/>
    <col min="4107" max="4107" width="20.85546875" style="27" bestFit="1" customWidth="1"/>
    <col min="4108" max="4108" width="14.7109375" style="27" customWidth="1"/>
    <col min="4109" max="4109" width="9.140625" style="27"/>
    <col min="4110" max="4110" width="11.28515625" style="27" customWidth="1"/>
    <col min="4111" max="4111" width="16.85546875" style="27" customWidth="1"/>
    <col min="4112" max="4351" width="9.140625" style="27"/>
    <col min="4352" max="4352" width="9.28515625" style="27" customWidth="1"/>
    <col min="4353" max="4353" width="37.42578125" style="27" customWidth="1"/>
    <col min="4354" max="4354" width="9.140625" style="27" customWidth="1"/>
    <col min="4355" max="4355" width="6.5703125" style="27" customWidth="1"/>
    <col min="4356" max="4356" width="9.140625" style="27"/>
    <col min="4357" max="4357" width="5.28515625" style="27" customWidth="1"/>
    <col min="4358" max="4358" width="8" style="27" customWidth="1"/>
    <col min="4359" max="4359" width="6.42578125" style="27" customWidth="1"/>
    <col min="4360" max="4361" width="7.85546875" style="27" customWidth="1"/>
    <col min="4362" max="4362" width="9.28515625" style="27" customWidth="1"/>
    <col min="4363" max="4363" width="20.85546875" style="27" bestFit="1" customWidth="1"/>
    <col min="4364" max="4364" width="14.7109375" style="27" customWidth="1"/>
    <col min="4365" max="4365" width="9.140625" style="27"/>
    <col min="4366" max="4366" width="11.28515625" style="27" customWidth="1"/>
    <col min="4367" max="4367" width="16.85546875" style="27" customWidth="1"/>
    <col min="4368" max="4607" width="9.140625" style="27"/>
    <col min="4608" max="4608" width="9.28515625" style="27" customWidth="1"/>
    <col min="4609" max="4609" width="37.42578125" style="27" customWidth="1"/>
    <col min="4610" max="4610" width="9.140625" style="27" customWidth="1"/>
    <col min="4611" max="4611" width="6.5703125" style="27" customWidth="1"/>
    <col min="4612" max="4612" width="9.140625" style="27"/>
    <col min="4613" max="4613" width="5.28515625" style="27" customWidth="1"/>
    <col min="4614" max="4614" width="8" style="27" customWidth="1"/>
    <col min="4615" max="4615" width="6.42578125" style="27" customWidth="1"/>
    <col min="4616" max="4617" width="7.85546875" style="27" customWidth="1"/>
    <col min="4618" max="4618" width="9.28515625" style="27" customWidth="1"/>
    <col min="4619" max="4619" width="20.85546875" style="27" bestFit="1" customWidth="1"/>
    <col min="4620" max="4620" width="14.7109375" style="27" customWidth="1"/>
    <col min="4621" max="4621" width="9.140625" style="27"/>
    <col min="4622" max="4622" width="11.28515625" style="27" customWidth="1"/>
    <col min="4623" max="4623" width="16.85546875" style="27" customWidth="1"/>
    <col min="4624" max="4863" width="9.140625" style="27"/>
    <col min="4864" max="4864" width="9.28515625" style="27" customWidth="1"/>
    <col min="4865" max="4865" width="37.42578125" style="27" customWidth="1"/>
    <col min="4866" max="4866" width="9.140625" style="27" customWidth="1"/>
    <col min="4867" max="4867" width="6.5703125" style="27" customWidth="1"/>
    <col min="4868" max="4868" width="9.140625" style="27"/>
    <col min="4869" max="4869" width="5.28515625" style="27" customWidth="1"/>
    <col min="4870" max="4870" width="8" style="27" customWidth="1"/>
    <col min="4871" max="4871" width="6.42578125" style="27" customWidth="1"/>
    <col min="4872" max="4873" width="7.85546875" style="27" customWidth="1"/>
    <col min="4874" max="4874" width="9.28515625" style="27" customWidth="1"/>
    <col min="4875" max="4875" width="20.85546875" style="27" bestFit="1" customWidth="1"/>
    <col min="4876" max="4876" width="14.7109375" style="27" customWidth="1"/>
    <col min="4877" max="4877" width="9.140625" style="27"/>
    <col min="4878" max="4878" width="11.28515625" style="27" customWidth="1"/>
    <col min="4879" max="4879" width="16.85546875" style="27" customWidth="1"/>
    <col min="4880" max="5119" width="9.140625" style="27"/>
    <col min="5120" max="5120" width="9.28515625" style="27" customWidth="1"/>
    <col min="5121" max="5121" width="37.42578125" style="27" customWidth="1"/>
    <col min="5122" max="5122" width="9.140625" style="27" customWidth="1"/>
    <col min="5123" max="5123" width="6.5703125" style="27" customWidth="1"/>
    <col min="5124" max="5124" width="9.140625" style="27"/>
    <col min="5125" max="5125" width="5.28515625" style="27" customWidth="1"/>
    <col min="5126" max="5126" width="8" style="27" customWidth="1"/>
    <col min="5127" max="5127" width="6.42578125" style="27" customWidth="1"/>
    <col min="5128" max="5129" width="7.85546875" style="27" customWidth="1"/>
    <col min="5130" max="5130" width="9.28515625" style="27" customWidth="1"/>
    <col min="5131" max="5131" width="20.85546875" style="27" bestFit="1" customWidth="1"/>
    <col min="5132" max="5132" width="14.7109375" style="27" customWidth="1"/>
    <col min="5133" max="5133" width="9.140625" style="27"/>
    <col min="5134" max="5134" width="11.28515625" style="27" customWidth="1"/>
    <col min="5135" max="5135" width="16.85546875" style="27" customWidth="1"/>
    <col min="5136" max="5375" width="9.140625" style="27"/>
    <col min="5376" max="5376" width="9.28515625" style="27" customWidth="1"/>
    <col min="5377" max="5377" width="37.42578125" style="27" customWidth="1"/>
    <col min="5378" max="5378" width="9.140625" style="27" customWidth="1"/>
    <col min="5379" max="5379" width="6.5703125" style="27" customWidth="1"/>
    <col min="5380" max="5380" width="9.140625" style="27"/>
    <col min="5381" max="5381" width="5.28515625" style="27" customWidth="1"/>
    <col min="5382" max="5382" width="8" style="27" customWidth="1"/>
    <col min="5383" max="5383" width="6.42578125" style="27" customWidth="1"/>
    <col min="5384" max="5385" width="7.85546875" style="27" customWidth="1"/>
    <col min="5386" max="5386" width="9.28515625" style="27" customWidth="1"/>
    <col min="5387" max="5387" width="20.85546875" style="27" bestFit="1" customWidth="1"/>
    <col min="5388" max="5388" width="14.7109375" style="27" customWidth="1"/>
    <col min="5389" max="5389" width="9.140625" style="27"/>
    <col min="5390" max="5390" width="11.28515625" style="27" customWidth="1"/>
    <col min="5391" max="5391" width="16.85546875" style="27" customWidth="1"/>
    <col min="5392" max="5631" width="9.140625" style="27"/>
    <col min="5632" max="5632" width="9.28515625" style="27" customWidth="1"/>
    <col min="5633" max="5633" width="37.42578125" style="27" customWidth="1"/>
    <col min="5634" max="5634" width="9.140625" style="27" customWidth="1"/>
    <col min="5635" max="5635" width="6.5703125" style="27" customWidth="1"/>
    <col min="5636" max="5636" width="9.140625" style="27"/>
    <col min="5637" max="5637" width="5.28515625" style="27" customWidth="1"/>
    <col min="5638" max="5638" width="8" style="27" customWidth="1"/>
    <col min="5639" max="5639" width="6.42578125" style="27" customWidth="1"/>
    <col min="5640" max="5641" width="7.85546875" style="27" customWidth="1"/>
    <col min="5642" max="5642" width="9.28515625" style="27" customWidth="1"/>
    <col min="5643" max="5643" width="20.85546875" style="27" bestFit="1" customWidth="1"/>
    <col min="5644" max="5644" width="14.7109375" style="27" customWidth="1"/>
    <col min="5645" max="5645" width="9.140625" style="27"/>
    <col min="5646" max="5646" width="11.28515625" style="27" customWidth="1"/>
    <col min="5647" max="5647" width="16.85546875" style="27" customWidth="1"/>
    <col min="5648" max="5887" width="9.140625" style="27"/>
    <col min="5888" max="5888" width="9.28515625" style="27" customWidth="1"/>
    <col min="5889" max="5889" width="37.42578125" style="27" customWidth="1"/>
    <col min="5890" max="5890" width="9.140625" style="27" customWidth="1"/>
    <col min="5891" max="5891" width="6.5703125" style="27" customWidth="1"/>
    <col min="5892" max="5892" width="9.140625" style="27"/>
    <col min="5893" max="5893" width="5.28515625" style="27" customWidth="1"/>
    <col min="5894" max="5894" width="8" style="27" customWidth="1"/>
    <col min="5895" max="5895" width="6.42578125" style="27" customWidth="1"/>
    <col min="5896" max="5897" width="7.85546875" style="27" customWidth="1"/>
    <col min="5898" max="5898" width="9.28515625" style="27" customWidth="1"/>
    <col min="5899" max="5899" width="20.85546875" style="27" bestFit="1" customWidth="1"/>
    <col min="5900" max="5900" width="14.7109375" style="27" customWidth="1"/>
    <col min="5901" max="5901" width="9.140625" style="27"/>
    <col min="5902" max="5902" width="11.28515625" style="27" customWidth="1"/>
    <col min="5903" max="5903" width="16.85546875" style="27" customWidth="1"/>
    <col min="5904" max="6143" width="9.140625" style="27"/>
    <col min="6144" max="6144" width="9.28515625" style="27" customWidth="1"/>
    <col min="6145" max="6145" width="37.42578125" style="27" customWidth="1"/>
    <col min="6146" max="6146" width="9.140625" style="27" customWidth="1"/>
    <col min="6147" max="6147" width="6.5703125" style="27" customWidth="1"/>
    <col min="6148" max="6148" width="9.140625" style="27"/>
    <col min="6149" max="6149" width="5.28515625" style="27" customWidth="1"/>
    <col min="6150" max="6150" width="8" style="27" customWidth="1"/>
    <col min="6151" max="6151" width="6.42578125" style="27" customWidth="1"/>
    <col min="6152" max="6153" width="7.85546875" style="27" customWidth="1"/>
    <col min="6154" max="6154" width="9.28515625" style="27" customWidth="1"/>
    <col min="6155" max="6155" width="20.85546875" style="27" bestFit="1" customWidth="1"/>
    <col min="6156" max="6156" width="14.7109375" style="27" customWidth="1"/>
    <col min="6157" max="6157" width="9.140625" style="27"/>
    <col min="6158" max="6158" width="11.28515625" style="27" customWidth="1"/>
    <col min="6159" max="6159" width="16.85546875" style="27" customWidth="1"/>
    <col min="6160" max="6399" width="9.140625" style="27"/>
    <col min="6400" max="6400" width="9.28515625" style="27" customWidth="1"/>
    <col min="6401" max="6401" width="37.42578125" style="27" customWidth="1"/>
    <col min="6402" max="6402" width="9.140625" style="27" customWidth="1"/>
    <col min="6403" max="6403" width="6.5703125" style="27" customWidth="1"/>
    <col min="6404" max="6404" width="9.140625" style="27"/>
    <col min="6405" max="6405" width="5.28515625" style="27" customWidth="1"/>
    <col min="6406" max="6406" width="8" style="27" customWidth="1"/>
    <col min="6407" max="6407" width="6.42578125" style="27" customWidth="1"/>
    <col min="6408" max="6409" width="7.85546875" style="27" customWidth="1"/>
    <col min="6410" max="6410" width="9.28515625" style="27" customWidth="1"/>
    <col min="6411" max="6411" width="20.85546875" style="27" bestFit="1" customWidth="1"/>
    <col min="6412" max="6412" width="14.7109375" style="27" customWidth="1"/>
    <col min="6413" max="6413" width="9.140625" style="27"/>
    <col min="6414" max="6414" width="11.28515625" style="27" customWidth="1"/>
    <col min="6415" max="6415" width="16.85546875" style="27" customWidth="1"/>
    <col min="6416" max="6655" width="9.140625" style="27"/>
    <col min="6656" max="6656" width="9.28515625" style="27" customWidth="1"/>
    <col min="6657" max="6657" width="37.42578125" style="27" customWidth="1"/>
    <col min="6658" max="6658" width="9.140625" style="27" customWidth="1"/>
    <col min="6659" max="6659" width="6.5703125" style="27" customWidth="1"/>
    <col min="6660" max="6660" width="9.140625" style="27"/>
    <col min="6661" max="6661" width="5.28515625" style="27" customWidth="1"/>
    <col min="6662" max="6662" width="8" style="27" customWidth="1"/>
    <col min="6663" max="6663" width="6.42578125" style="27" customWidth="1"/>
    <col min="6664" max="6665" width="7.85546875" style="27" customWidth="1"/>
    <col min="6666" max="6666" width="9.28515625" style="27" customWidth="1"/>
    <col min="6667" max="6667" width="20.85546875" style="27" bestFit="1" customWidth="1"/>
    <col min="6668" max="6668" width="14.7109375" style="27" customWidth="1"/>
    <col min="6669" max="6669" width="9.140625" style="27"/>
    <col min="6670" max="6670" width="11.28515625" style="27" customWidth="1"/>
    <col min="6671" max="6671" width="16.85546875" style="27" customWidth="1"/>
    <col min="6672" max="6911" width="9.140625" style="27"/>
    <col min="6912" max="6912" width="9.28515625" style="27" customWidth="1"/>
    <col min="6913" max="6913" width="37.42578125" style="27" customWidth="1"/>
    <col min="6914" max="6914" width="9.140625" style="27" customWidth="1"/>
    <col min="6915" max="6915" width="6.5703125" style="27" customWidth="1"/>
    <col min="6916" max="6916" width="9.140625" style="27"/>
    <col min="6917" max="6917" width="5.28515625" style="27" customWidth="1"/>
    <col min="6918" max="6918" width="8" style="27" customWidth="1"/>
    <col min="6919" max="6919" width="6.42578125" style="27" customWidth="1"/>
    <col min="6920" max="6921" width="7.85546875" style="27" customWidth="1"/>
    <col min="6922" max="6922" width="9.28515625" style="27" customWidth="1"/>
    <col min="6923" max="6923" width="20.85546875" style="27" bestFit="1" customWidth="1"/>
    <col min="6924" max="6924" width="14.7109375" style="27" customWidth="1"/>
    <col min="6925" max="6925" width="9.140625" style="27"/>
    <col min="6926" max="6926" width="11.28515625" style="27" customWidth="1"/>
    <col min="6927" max="6927" width="16.85546875" style="27" customWidth="1"/>
    <col min="6928" max="7167" width="9.140625" style="27"/>
    <col min="7168" max="7168" width="9.28515625" style="27" customWidth="1"/>
    <col min="7169" max="7169" width="37.42578125" style="27" customWidth="1"/>
    <col min="7170" max="7170" width="9.140625" style="27" customWidth="1"/>
    <col min="7171" max="7171" width="6.5703125" style="27" customWidth="1"/>
    <col min="7172" max="7172" width="9.140625" style="27"/>
    <col min="7173" max="7173" width="5.28515625" style="27" customWidth="1"/>
    <col min="7174" max="7174" width="8" style="27" customWidth="1"/>
    <col min="7175" max="7175" width="6.42578125" style="27" customWidth="1"/>
    <col min="7176" max="7177" width="7.85546875" style="27" customWidth="1"/>
    <col min="7178" max="7178" width="9.28515625" style="27" customWidth="1"/>
    <col min="7179" max="7179" width="20.85546875" style="27" bestFit="1" customWidth="1"/>
    <col min="7180" max="7180" width="14.7109375" style="27" customWidth="1"/>
    <col min="7181" max="7181" width="9.140625" style="27"/>
    <col min="7182" max="7182" width="11.28515625" style="27" customWidth="1"/>
    <col min="7183" max="7183" width="16.85546875" style="27" customWidth="1"/>
    <col min="7184" max="7423" width="9.140625" style="27"/>
    <col min="7424" max="7424" width="9.28515625" style="27" customWidth="1"/>
    <col min="7425" max="7425" width="37.42578125" style="27" customWidth="1"/>
    <col min="7426" max="7426" width="9.140625" style="27" customWidth="1"/>
    <col min="7427" max="7427" width="6.5703125" style="27" customWidth="1"/>
    <col min="7428" max="7428" width="9.140625" style="27"/>
    <col min="7429" max="7429" width="5.28515625" style="27" customWidth="1"/>
    <col min="7430" max="7430" width="8" style="27" customWidth="1"/>
    <col min="7431" max="7431" width="6.42578125" style="27" customWidth="1"/>
    <col min="7432" max="7433" width="7.85546875" style="27" customWidth="1"/>
    <col min="7434" max="7434" width="9.28515625" style="27" customWidth="1"/>
    <col min="7435" max="7435" width="20.85546875" style="27" bestFit="1" customWidth="1"/>
    <col min="7436" max="7436" width="14.7109375" style="27" customWidth="1"/>
    <col min="7437" max="7437" width="9.140625" style="27"/>
    <col min="7438" max="7438" width="11.28515625" style="27" customWidth="1"/>
    <col min="7439" max="7439" width="16.85546875" style="27" customWidth="1"/>
    <col min="7440" max="7679" width="9.140625" style="27"/>
    <col min="7680" max="7680" width="9.28515625" style="27" customWidth="1"/>
    <col min="7681" max="7681" width="37.42578125" style="27" customWidth="1"/>
    <col min="7682" max="7682" width="9.140625" style="27" customWidth="1"/>
    <col min="7683" max="7683" width="6.5703125" style="27" customWidth="1"/>
    <col min="7684" max="7684" width="9.140625" style="27"/>
    <col min="7685" max="7685" width="5.28515625" style="27" customWidth="1"/>
    <col min="7686" max="7686" width="8" style="27" customWidth="1"/>
    <col min="7687" max="7687" width="6.42578125" style="27" customWidth="1"/>
    <col min="7688" max="7689" width="7.85546875" style="27" customWidth="1"/>
    <col min="7690" max="7690" width="9.28515625" style="27" customWidth="1"/>
    <col min="7691" max="7691" width="20.85546875" style="27" bestFit="1" customWidth="1"/>
    <col min="7692" max="7692" width="14.7109375" style="27" customWidth="1"/>
    <col min="7693" max="7693" width="9.140625" style="27"/>
    <col min="7694" max="7694" width="11.28515625" style="27" customWidth="1"/>
    <col min="7695" max="7695" width="16.85546875" style="27" customWidth="1"/>
    <col min="7696" max="7935" width="9.140625" style="27"/>
    <col min="7936" max="7936" width="9.28515625" style="27" customWidth="1"/>
    <col min="7937" max="7937" width="37.42578125" style="27" customWidth="1"/>
    <col min="7938" max="7938" width="9.140625" style="27" customWidth="1"/>
    <col min="7939" max="7939" width="6.5703125" style="27" customWidth="1"/>
    <col min="7940" max="7940" width="9.140625" style="27"/>
    <col min="7941" max="7941" width="5.28515625" style="27" customWidth="1"/>
    <col min="7942" max="7942" width="8" style="27" customWidth="1"/>
    <col min="7943" max="7943" width="6.42578125" style="27" customWidth="1"/>
    <col min="7944" max="7945" width="7.85546875" style="27" customWidth="1"/>
    <col min="7946" max="7946" width="9.28515625" style="27" customWidth="1"/>
    <col min="7947" max="7947" width="20.85546875" style="27" bestFit="1" customWidth="1"/>
    <col min="7948" max="7948" width="14.7109375" style="27" customWidth="1"/>
    <col min="7949" max="7949" width="9.140625" style="27"/>
    <col min="7950" max="7950" width="11.28515625" style="27" customWidth="1"/>
    <col min="7951" max="7951" width="16.85546875" style="27" customWidth="1"/>
    <col min="7952" max="8191" width="9.140625" style="27"/>
    <col min="8192" max="8192" width="9.28515625" style="27" customWidth="1"/>
    <col min="8193" max="8193" width="37.42578125" style="27" customWidth="1"/>
    <col min="8194" max="8194" width="9.140625" style="27" customWidth="1"/>
    <col min="8195" max="8195" width="6.5703125" style="27" customWidth="1"/>
    <col min="8196" max="8196" width="9.140625" style="27"/>
    <col min="8197" max="8197" width="5.28515625" style="27" customWidth="1"/>
    <col min="8198" max="8198" width="8" style="27" customWidth="1"/>
    <col min="8199" max="8199" width="6.42578125" style="27" customWidth="1"/>
    <col min="8200" max="8201" width="7.85546875" style="27" customWidth="1"/>
    <col min="8202" max="8202" width="9.28515625" style="27" customWidth="1"/>
    <col min="8203" max="8203" width="20.85546875" style="27" bestFit="1" customWidth="1"/>
    <col min="8204" max="8204" width="14.7109375" style="27" customWidth="1"/>
    <col min="8205" max="8205" width="9.140625" style="27"/>
    <col min="8206" max="8206" width="11.28515625" style="27" customWidth="1"/>
    <col min="8207" max="8207" width="16.85546875" style="27" customWidth="1"/>
    <col min="8208" max="8447" width="9.140625" style="27"/>
    <col min="8448" max="8448" width="9.28515625" style="27" customWidth="1"/>
    <col min="8449" max="8449" width="37.42578125" style="27" customWidth="1"/>
    <col min="8450" max="8450" width="9.140625" style="27" customWidth="1"/>
    <col min="8451" max="8451" width="6.5703125" style="27" customWidth="1"/>
    <col min="8452" max="8452" width="9.140625" style="27"/>
    <col min="8453" max="8453" width="5.28515625" style="27" customWidth="1"/>
    <col min="8454" max="8454" width="8" style="27" customWidth="1"/>
    <col min="8455" max="8455" width="6.42578125" style="27" customWidth="1"/>
    <col min="8456" max="8457" width="7.85546875" style="27" customWidth="1"/>
    <col min="8458" max="8458" width="9.28515625" style="27" customWidth="1"/>
    <col min="8459" max="8459" width="20.85546875" style="27" bestFit="1" customWidth="1"/>
    <col min="8460" max="8460" width="14.7109375" style="27" customWidth="1"/>
    <col min="8461" max="8461" width="9.140625" style="27"/>
    <col min="8462" max="8462" width="11.28515625" style="27" customWidth="1"/>
    <col min="8463" max="8463" width="16.85546875" style="27" customWidth="1"/>
    <col min="8464" max="8703" width="9.140625" style="27"/>
    <col min="8704" max="8704" width="9.28515625" style="27" customWidth="1"/>
    <col min="8705" max="8705" width="37.42578125" style="27" customWidth="1"/>
    <col min="8706" max="8706" width="9.140625" style="27" customWidth="1"/>
    <col min="8707" max="8707" width="6.5703125" style="27" customWidth="1"/>
    <col min="8708" max="8708" width="9.140625" style="27"/>
    <col min="8709" max="8709" width="5.28515625" style="27" customWidth="1"/>
    <col min="8710" max="8710" width="8" style="27" customWidth="1"/>
    <col min="8711" max="8711" width="6.42578125" style="27" customWidth="1"/>
    <col min="8712" max="8713" width="7.85546875" style="27" customWidth="1"/>
    <col min="8714" max="8714" width="9.28515625" style="27" customWidth="1"/>
    <col min="8715" max="8715" width="20.85546875" style="27" bestFit="1" customWidth="1"/>
    <col min="8716" max="8716" width="14.7109375" style="27" customWidth="1"/>
    <col min="8717" max="8717" width="9.140625" style="27"/>
    <col min="8718" max="8718" width="11.28515625" style="27" customWidth="1"/>
    <col min="8719" max="8719" width="16.85546875" style="27" customWidth="1"/>
    <col min="8720" max="8959" width="9.140625" style="27"/>
    <col min="8960" max="8960" width="9.28515625" style="27" customWidth="1"/>
    <col min="8961" max="8961" width="37.42578125" style="27" customWidth="1"/>
    <col min="8962" max="8962" width="9.140625" style="27" customWidth="1"/>
    <col min="8963" max="8963" width="6.5703125" style="27" customWidth="1"/>
    <col min="8964" max="8964" width="9.140625" style="27"/>
    <col min="8965" max="8965" width="5.28515625" style="27" customWidth="1"/>
    <col min="8966" max="8966" width="8" style="27" customWidth="1"/>
    <col min="8967" max="8967" width="6.42578125" style="27" customWidth="1"/>
    <col min="8968" max="8969" width="7.85546875" style="27" customWidth="1"/>
    <col min="8970" max="8970" width="9.28515625" style="27" customWidth="1"/>
    <col min="8971" max="8971" width="20.85546875" style="27" bestFit="1" customWidth="1"/>
    <col min="8972" max="8972" width="14.7109375" style="27" customWidth="1"/>
    <col min="8973" max="8973" width="9.140625" style="27"/>
    <col min="8974" max="8974" width="11.28515625" style="27" customWidth="1"/>
    <col min="8975" max="8975" width="16.85546875" style="27" customWidth="1"/>
    <col min="8976" max="9215" width="9.140625" style="27"/>
    <col min="9216" max="9216" width="9.28515625" style="27" customWidth="1"/>
    <col min="9217" max="9217" width="37.42578125" style="27" customWidth="1"/>
    <col min="9218" max="9218" width="9.140625" style="27" customWidth="1"/>
    <col min="9219" max="9219" width="6.5703125" style="27" customWidth="1"/>
    <col min="9220" max="9220" width="9.140625" style="27"/>
    <col min="9221" max="9221" width="5.28515625" style="27" customWidth="1"/>
    <col min="9222" max="9222" width="8" style="27" customWidth="1"/>
    <col min="9223" max="9223" width="6.42578125" style="27" customWidth="1"/>
    <col min="9224" max="9225" width="7.85546875" style="27" customWidth="1"/>
    <col min="9226" max="9226" width="9.28515625" style="27" customWidth="1"/>
    <col min="9227" max="9227" width="20.85546875" style="27" bestFit="1" customWidth="1"/>
    <col min="9228" max="9228" width="14.7109375" style="27" customWidth="1"/>
    <col min="9229" max="9229" width="9.140625" style="27"/>
    <col min="9230" max="9230" width="11.28515625" style="27" customWidth="1"/>
    <col min="9231" max="9231" width="16.85546875" style="27" customWidth="1"/>
    <col min="9232" max="9471" width="9.140625" style="27"/>
    <col min="9472" max="9472" width="9.28515625" style="27" customWidth="1"/>
    <col min="9473" max="9473" width="37.42578125" style="27" customWidth="1"/>
    <col min="9474" max="9474" width="9.140625" style="27" customWidth="1"/>
    <col min="9475" max="9475" width="6.5703125" style="27" customWidth="1"/>
    <col min="9476" max="9476" width="9.140625" style="27"/>
    <col min="9477" max="9477" width="5.28515625" style="27" customWidth="1"/>
    <col min="9478" max="9478" width="8" style="27" customWidth="1"/>
    <col min="9479" max="9479" width="6.42578125" style="27" customWidth="1"/>
    <col min="9480" max="9481" width="7.85546875" style="27" customWidth="1"/>
    <col min="9482" max="9482" width="9.28515625" style="27" customWidth="1"/>
    <col min="9483" max="9483" width="20.85546875" style="27" bestFit="1" customWidth="1"/>
    <col min="9484" max="9484" width="14.7109375" style="27" customWidth="1"/>
    <col min="9485" max="9485" width="9.140625" style="27"/>
    <col min="9486" max="9486" width="11.28515625" style="27" customWidth="1"/>
    <col min="9487" max="9487" width="16.85546875" style="27" customWidth="1"/>
    <col min="9488" max="9727" width="9.140625" style="27"/>
    <col min="9728" max="9728" width="9.28515625" style="27" customWidth="1"/>
    <col min="9729" max="9729" width="37.42578125" style="27" customWidth="1"/>
    <col min="9730" max="9730" width="9.140625" style="27" customWidth="1"/>
    <col min="9731" max="9731" width="6.5703125" style="27" customWidth="1"/>
    <col min="9732" max="9732" width="9.140625" style="27"/>
    <col min="9733" max="9733" width="5.28515625" style="27" customWidth="1"/>
    <col min="9734" max="9734" width="8" style="27" customWidth="1"/>
    <col min="9735" max="9735" width="6.42578125" style="27" customWidth="1"/>
    <col min="9736" max="9737" width="7.85546875" style="27" customWidth="1"/>
    <col min="9738" max="9738" width="9.28515625" style="27" customWidth="1"/>
    <col min="9739" max="9739" width="20.85546875" style="27" bestFit="1" customWidth="1"/>
    <col min="9740" max="9740" width="14.7109375" style="27" customWidth="1"/>
    <col min="9741" max="9741" width="9.140625" style="27"/>
    <col min="9742" max="9742" width="11.28515625" style="27" customWidth="1"/>
    <col min="9743" max="9743" width="16.85546875" style="27" customWidth="1"/>
    <col min="9744" max="9983" width="9.140625" style="27"/>
    <col min="9984" max="9984" width="9.28515625" style="27" customWidth="1"/>
    <col min="9985" max="9985" width="37.42578125" style="27" customWidth="1"/>
    <col min="9986" max="9986" width="9.140625" style="27" customWidth="1"/>
    <col min="9987" max="9987" width="6.5703125" style="27" customWidth="1"/>
    <col min="9988" max="9988" width="9.140625" style="27"/>
    <col min="9989" max="9989" width="5.28515625" style="27" customWidth="1"/>
    <col min="9990" max="9990" width="8" style="27" customWidth="1"/>
    <col min="9991" max="9991" width="6.42578125" style="27" customWidth="1"/>
    <col min="9992" max="9993" width="7.85546875" style="27" customWidth="1"/>
    <col min="9994" max="9994" width="9.28515625" style="27" customWidth="1"/>
    <col min="9995" max="9995" width="20.85546875" style="27" bestFit="1" customWidth="1"/>
    <col min="9996" max="9996" width="14.7109375" style="27" customWidth="1"/>
    <col min="9997" max="9997" width="9.140625" style="27"/>
    <col min="9998" max="9998" width="11.28515625" style="27" customWidth="1"/>
    <col min="9999" max="9999" width="16.85546875" style="27" customWidth="1"/>
    <col min="10000" max="10239" width="9.140625" style="27"/>
    <col min="10240" max="10240" width="9.28515625" style="27" customWidth="1"/>
    <col min="10241" max="10241" width="37.42578125" style="27" customWidth="1"/>
    <col min="10242" max="10242" width="9.140625" style="27" customWidth="1"/>
    <col min="10243" max="10243" width="6.5703125" style="27" customWidth="1"/>
    <col min="10244" max="10244" width="9.140625" style="27"/>
    <col min="10245" max="10245" width="5.28515625" style="27" customWidth="1"/>
    <col min="10246" max="10246" width="8" style="27" customWidth="1"/>
    <col min="10247" max="10247" width="6.42578125" style="27" customWidth="1"/>
    <col min="10248" max="10249" width="7.85546875" style="27" customWidth="1"/>
    <col min="10250" max="10250" width="9.28515625" style="27" customWidth="1"/>
    <col min="10251" max="10251" width="20.85546875" style="27" bestFit="1" customWidth="1"/>
    <col min="10252" max="10252" width="14.7109375" style="27" customWidth="1"/>
    <col min="10253" max="10253" width="9.140625" style="27"/>
    <col min="10254" max="10254" width="11.28515625" style="27" customWidth="1"/>
    <col min="10255" max="10255" width="16.85546875" style="27" customWidth="1"/>
    <col min="10256" max="10495" width="9.140625" style="27"/>
    <col min="10496" max="10496" width="9.28515625" style="27" customWidth="1"/>
    <col min="10497" max="10497" width="37.42578125" style="27" customWidth="1"/>
    <col min="10498" max="10498" width="9.140625" style="27" customWidth="1"/>
    <col min="10499" max="10499" width="6.5703125" style="27" customWidth="1"/>
    <col min="10500" max="10500" width="9.140625" style="27"/>
    <col min="10501" max="10501" width="5.28515625" style="27" customWidth="1"/>
    <col min="10502" max="10502" width="8" style="27" customWidth="1"/>
    <col min="10503" max="10503" width="6.42578125" style="27" customWidth="1"/>
    <col min="10504" max="10505" width="7.85546875" style="27" customWidth="1"/>
    <col min="10506" max="10506" width="9.28515625" style="27" customWidth="1"/>
    <col min="10507" max="10507" width="20.85546875" style="27" bestFit="1" customWidth="1"/>
    <col min="10508" max="10508" width="14.7109375" style="27" customWidth="1"/>
    <col min="10509" max="10509" width="9.140625" style="27"/>
    <col min="10510" max="10510" width="11.28515625" style="27" customWidth="1"/>
    <col min="10511" max="10511" width="16.85546875" style="27" customWidth="1"/>
    <col min="10512" max="10751" width="9.140625" style="27"/>
    <col min="10752" max="10752" width="9.28515625" style="27" customWidth="1"/>
    <col min="10753" max="10753" width="37.42578125" style="27" customWidth="1"/>
    <col min="10754" max="10754" width="9.140625" style="27" customWidth="1"/>
    <col min="10755" max="10755" width="6.5703125" style="27" customWidth="1"/>
    <col min="10756" max="10756" width="9.140625" style="27"/>
    <col min="10757" max="10757" width="5.28515625" style="27" customWidth="1"/>
    <col min="10758" max="10758" width="8" style="27" customWidth="1"/>
    <col min="10759" max="10759" width="6.42578125" style="27" customWidth="1"/>
    <col min="10760" max="10761" width="7.85546875" style="27" customWidth="1"/>
    <col min="10762" max="10762" width="9.28515625" style="27" customWidth="1"/>
    <col min="10763" max="10763" width="20.85546875" style="27" bestFit="1" customWidth="1"/>
    <col min="10764" max="10764" width="14.7109375" style="27" customWidth="1"/>
    <col min="10765" max="10765" width="9.140625" style="27"/>
    <col min="10766" max="10766" width="11.28515625" style="27" customWidth="1"/>
    <col min="10767" max="10767" width="16.85546875" style="27" customWidth="1"/>
    <col min="10768" max="11007" width="9.140625" style="27"/>
    <col min="11008" max="11008" width="9.28515625" style="27" customWidth="1"/>
    <col min="11009" max="11009" width="37.42578125" style="27" customWidth="1"/>
    <col min="11010" max="11010" width="9.140625" style="27" customWidth="1"/>
    <col min="11011" max="11011" width="6.5703125" style="27" customWidth="1"/>
    <col min="11012" max="11012" width="9.140625" style="27"/>
    <col min="11013" max="11013" width="5.28515625" style="27" customWidth="1"/>
    <col min="11014" max="11014" width="8" style="27" customWidth="1"/>
    <col min="11015" max="11015" width="6.42578125" style="27" customWidth="1"/>
    <col min="11016" max="11017" width="7.85546875" style="27" customWidth="1"/>
    <col min="11018" max="11018" width="9.28515625" style="27" customWidth="1"/>
    <col min="11019" max="11019" width="20.85546875" style="27" bestFit="1" customWidth="1"/>
    <col min="11020" max="11020" width="14.7109375" style="27" customWidth="1"/>
    <col min="11021" max="11021" width="9.140625" style="27"/>
    <col min="11022" max="11022" width="11.28515625" style="27" customWidth="1"/>
    <col min="11023" max="11023" width="16.85546875" style="27" customWidth="1"/>
    <col min="11024" max="11263" width="9.140625" style="27"/>
    <col min="11264" max="11264" width="9.28515625" style="27" customWidth="1"/>
    <col min="11265" max="11265" width="37.42578125" style="27" customWidth="1"/>
    <col min="11266" max="11266" width="9.140625" style="27" customWidth="1"/>
    <col min="11267" max="11267" width="6.5703125" style="27" customWidth="1"/>
    <col min="11268" max="11268" width="9.140625" style="27"/>
    <col min="11269" max="11269" width="5.28515625" style="27" customWidth="1"/>
    <col min="11270" max="11270" width="8" style="27" customWidth="1"/>
    <col min="11271" max="11271" width="6.42578125" style="27" customWidth="1"/>
    <col min="11272" max="11273" width="7.85546875" style="27" customWidth="1"/>
    <col min="11274" max="11274" width="9.28515625" style="27" customWidth="1"/>
    <col min="11275" max="11275" width="20.85546875" style="27" bestFit="1" customWidth="1"/>
    <col min="11276" max="11276" width="14.7109375" style="27" customWidth="1"/>
    <col min="11277" max="11277" width="9.140625" style="27"/>
    <col min="11278" max="11278" width="11.28515625" style="27" customWidth="1"/>
    <col min="11279" max="11279" width="16.85546875" style="27" customWidth="1"/>
    <col min="11280" max="11519" width="9.140625" style="27"/>
    <col min="11520" max="11520" width="9.28515625" style="27" customWidth="1"/>
    <col min="11521" max="11521" width="37.42578125" style="27" customWidth="1"/>
    <col min="11522" max="11522" width="9.140625" style="27" customWidth="1"/>
    <col min="11523" max="11523" width="6.5703125" style="27" customWidth="1"/>
    <col min="11524" max="11524" width="9.140625" style="27"/>
    <col min="11525" max="11525" width="5.28515625" style="27" customWidth="1"/>
    <col min="11526" max="11526" width="8" style="27" customWidth="1"/>
    <col min="11527" max="11527" width="6.42578125" style="27" customWidth="1"/>
    <col min="11528" max="11529" width="7.85546875" style="27" customWidth="1"/>
    <col min="11530" max="11530" width="9.28515625" style="27" customWidth="1"/>
    <col min="11531" max="11531" width="20.85546875" style="27" bestFit="1" customWidth="1"/>
    <col min="11532" max="11532" width="14.7109375" style="27" customWidth="1"/>
    <col min="11533" max="11533" width="9.140625" style="27"/>
    <col min="11534" max="11534" width="11.28515625" style="27" customWidth="1"/>
    <col min="11535" max="11535" width="16.85546875" style="27" customWidth="1"/>
    <col min="11536" max="11775" width="9.140625" style="27"/>
    <col min="11776" max="11776" width="9.28515625" style="27" customWidth="1"/>
    <col min="11777" max="11777" width="37.42578125" style="27" customWidth="1"/>
    <col min="11778" max="11778" width="9.140625" style="27" customWidth="1"/>
    <col min="11779" max="11779" width="6.5703125" style="27" customWidth="1"/>
    <col min="11780" max="11780" width="9.140625" style="27"/>
    <col min="11781" max="11781" width="5.28515625" style="27" customWidth="1"/>
    <col min="11782" max="11782" width="8" style="27" customWidth="1"/>
    <col min="11783" max="11783" width="6.42578125" style="27" customWidth="1"/>
    <col min="11784" max="11785" width="7.85546875" style="27" customWidth="1"/>
    <col min="11786" max="11786" width="9.28515625" style="27" customWidth="1"/>
    <col min="11787" max="11787" width="20.85546875" style="27" bestFit="1" customWidth="1"/>
    <col min="11788" max="11788" width="14.7109375" style="27" customWidth="1"/>
    <col min="11789" max="11789" width="9.140625" style="27"/>
    <col min="11790" max="11790" width="11.28515625" style="27" customWidth="1"/>
    <col min="11791" max="11791" width="16.85546875" style="27" customWidth="1"/>
    <col min="11792" max="12031" width="9.140625" style="27"/>
    <col min="12032" max="12032" width="9.28515625" style="27" customWidth="1"/>
    <col min="12033" max="12033" width="37.42578125" style="27" customWidth="1"/>
    <col min="12034" max="12034" width="9.140625" style="27" customWidth="1"/>
    <col min="12035" max="12035" width="6.5703125" style="27" customWidth="1"/>
    <col min="12036" max="12036" width="9.140625" style="27"/>
    <col min="12037" max="12037" width="5.28515625" style="27" customWidth="1"/>
    <col min="12038" max="12038" width="8" style="27" customWidth="1"/>
    <col min="12039" max="12039" width="6.42578125" style="27" customWidth="1"/>
    <col min="12040" max="12041" width="7.85546875" style="27" customWidth="1"/>
    <col min="12042" max="12042" width="9.28515625" style="27" customWidth="1"/>
    <col min="12043" max="12043" width="20.85546875" style="27" bestFit="1" customWidth="1"/>
    <col min="12044" max="12044" width="14.7109375" style="27" customWidth="1"/>
    <col min="12045" max="12045" width="9.140625" style="27"/>
    <col min="12046" max="12046" width="11.28515625" style="27" customWidth="1"/>
    <col min="12047" max="12047" width="16.85546875" style="27" customWidth="1"/>
    <col min="12048" max="12287" width="9.140625" style="27"/>
    <col min="12288" max="12288" width="9.28515625" style="27" customWidth="1"/>
    <col min="12289" max="12289" width="37.42578125" style="27" customWidth="1"/>
    <col min="12290" max="12290" width="9.140625" style="27" customWidth="1"/>
    <col min="12291" max="12291" width="6.5703125" style="27" customWidth="1"/>
    <col min="12292" max="12292" width="9.140625" style="27"/>
    <col min="12293" max="12293" width="5.28515625" style="27" customWidth="1"/>
    <col min="12294" max="12294" width="8" style="27" customWidth="1"/>
    <col min="12295" max="12295" width="6.42578125" style="27" customWidth="1"/>
    <col min="12296" max="12297" width="7.85546875" style="27" customWidth="1"/>
    <col min="12298" max="12298" width="9.28515625" style="27" customWidth="1"/>
    <col min="12299" max="12299" width="20.85546875" style="27" bestFit="1" customWidth="1"/>
    <col min="12300" max="12300" width="14.7109375" style="27" customWidth="1"/>
    <col min="12301" max="12301" width="9.140625" style="27"/>
    <col min="12302" max="12302" width="11.28515625" style="27" customWidth="1"/>
    <col min="12303" max="12303" width="16.85546875" style="27" customWidth="1"/>
    <col min="12304" max="12543" width="9.140625" style="27"/>
    <col min="12544" max="12544" width="9.28515625" style="27" customWidth="1"/>
    <col min="12545" max="12545" width="37.42578125" style="27" customWidth="1"/>
    <col min="12546" max="12546" width="9.140625" style="27" customWidth="1"/>
    <col min="12547" max="12547" width="6.5703125" style="27" customWidth="1"/>
    <col min="12548" max="12548" width="9.140625" style="27"/>
    <col min="12549" max="12549" width="5.28515625" style="27" customWidth="1"/>
    <col min="12550" max="12550" width="8" style="27" customWidth="1"/>
    <col min="12551" max="12551" width="6.42578125" style="27" customWidth="1"/>
    <col min="12552" max="12553" width="7.85546875" style="27" customWidth="1"/>
    <col min="12554" max="12554" width="9.28515625" style="27" customWidth="1"/>
    <col min="12555" max="12555" width="20.85546875" style="27" bestFit="1" customWidth="1"/>
    <col min="12556" max="12556" width="14.7109375" style="27" customWidth="1"/>
    <col min="12557" max="12557" width="9.140625" style="27"/>
    <col min="12558" max="12558" width="11.28515625" style="27" customWidth="1"/>
    <col min="12559" max="12559" width="16.85546875" style="27" customWidth="1"/>
    <col min="12560" max="12799" width="9.140625" style="27"/>
    <col min="12800" max="12800" width="9.28515625" style="27" customWidth="1"/>
    <col min="12801" max="12801" width="37.42578125" style="27" customWidth="1"/>
    <col min="12802" max="12802" width="9.140625" style="27" customWidth="1"/>
    <col min="12803" max="12803" width="6.5703125" style="27" customWidth="1"/>
    <col min="12804" max="12804" width="9.140625" style="27"/>
    <col min="12805" max="12805" width="5.28515625" style="27" customWidth="1"/>
    <col min="12806" max="12806" width="8" style="27" customWidth="1"/>
    <col min="12807" max="12807" width="6.42578125" style="27" customWidth="1"/>
    <col min="12808" max="12809" width="7.85546875" style="27" customWidth="1"/>
    <col min="12810" max="12810" width="9.28515625" style="27" customWidth="1"/>
    <col min="12811" max="12811" width="20.85546875" style="27" bestFit="1" customWidth="1"/>
    <col min="12812" max="12812" width="14.7109375" style="27" customWidth="1"/>
    <col min="12813" max="12813" width="9.140625" style="27"/>
    <col min="12814" max="12814" width="11.28515625" style="27" customWidth="1"/>
    <col min="12815" max="12815" width="16.85546875" style="27" customWidth="1"/>
    <col min="12816" max="13055" width="9.140625" style="27"/>
    <col min="13056" max="13056" width="9.28515625" style="27" customWidth="1"/>
    <col min="13057" max="13057" width="37.42578125" style="27" customWidth="1"/>
    <col min="13058" max="13058" width="9.140625" style="27" customWidth="1"/>
    <col min="13059" max="13059" width="6.5703125" style="27" customWidth="1"/>
    <col min="13060" max="13060" width="9.140625" style="27"/>
    <col min="13061" max="13061" width="5.28515625" style="27" customWidth="1"/>
    <col min="13062" max="13062" width="8" style="27" customWidth="1"/>
    <col min="13063" max="13063" width="6.42578125" style="27" customWidth="1"/>
    <col min="13064" max="13065" width="7.85546875" style="27" customWidth="1"/>
    <col min="13066" max="13066" width="9.28515625" style="27" customWidth="1"/>
    <col min="13067" max="13067" width="20.85546875" style="27" bestFit="1" customWidth="1"/>
    <col min="13068" max="13068" width="14.7109375" style="27" customWidth="1"/>
    <col min="13069" max="13069" width="9.140625" style="27"/>
    <col min="13070" max="13070" width="11.28515625" style="27" customWidth="1"/>
    <col min="13071" max="13071" width="16.85546875" style="27" customWidth="1"/>
    <col min="13072" max="13311" width="9.140625" style="27"/>
    <col min="13312" max="13312" width="9.28515625" style="27" customWidth="1"/>
    <col min="13313" max="13313" width="37.42578125" style="27" customWidth="1"/>
    <col min="13314" max="13314" width="9.140625" style="27" customWidth="1"/>
    <col min="13315" max="13315" width="6.5703125" style="27" customWidth="1"/>
    <col min="13316" max="13316" width="9.140625" style="27"/>
    <col min="13317" max="13317" width="5.28515625" style="27" customWidth="1"/>
    <col min="13318" max="13318" width="8" style="27" customWidth="1"/>
    <col min="13319" max="13319" width="6.42578125" style="27" customWidth="1"/>
    <col min="13320" max="13321" width="7.85546875" style="27" customWidth="1"/>
    <col min="13322" max="13322" width="9.28515625" style="27" customWidth="1"/>
    <col min="13323" max="13323" width="20.85546875" style="27" bestFit="1" customWidth="1"/>
    <col min="13324" max="13324" width="14.7109375" style="27" customWidth="1"/>
    <col min="13325" max="13325" width="9.140625" style="27"/>
    <col min="13326" max="13326" width="11.28515625" style="27" customWidth="1"/>
    <col min="13327" max="13327" width="16.85546875" style="27" customWidth="1"/>
    <col min="13328" max="13567" width="9.140625" style="27"/>
    <col min="13568" max="13568" width="9.28515625" style="27" customWidth="1"/>
    <col min="13569" max="13569" width="37.42578125" style="27" customWidth="1"/>
    <col min="13570" max="13570" width="9.140625" style="27" customWidth="1"/>
    <col min="13571" max="13571" width="6.5703125" style="27" customWidth="1"/>
    <col min="13572" max="13572" width="9.140625" style="27"/>
    <col min="13573" max="13573" width="5.28515625" style="27" customWidth="1"/>
    <col min="13574" max="13574" width="8" style="27" customWidth="1"/>
    <col min="13575" max="13575" width="6.42578125" style="27" customWidth="1"/>
    <col min="13576" max="13577" width="7.85546875" style="27" customWidth="1"/>
    <col min="13578" max="13578" width="9.28515625" style="27" customWidth="1"/>
    <col min="13579" max="13579" width="20.85546875" style="27" bestFit="1" customWidth="1"/>
    <col min="13580" max="13580" width="14.7109375" style="27" customWidth="1"/>
    <col min="13581" max="13581" width="9.140625" style="27"/>
    <col min="13582" max="13582" width="11.28515625" style="27" customWidth="1"/>
    <col min="13583" max="13583" width="16.85546875" style="27" customWidth="1"/>
    <col min="13584" max="13823" width="9.140625" style="27"/>
    <col min="13824" max="13824" width="9.28515625" style="27" customWidth="1"/>
    <col min="13825" max="13825" width="37.42578125" style="27" customWidth="1"/>
    <col min="13826" max="13826" width="9.140625" style="27" customWidth="1"/>
    <col min="13827" max="13827" width="6.5703125" style="27" customWidth="1"/>
    <col min="13828" max="13828" width="9.140625" style="27"/>
    <col min="13829" max="13829" width="5.28515625" style="27" customWidth="1"/>
    <col min="13830" max="13830" width="8" style="27" customWidth="1"/>
    <col min="13831" max="13831" width="6.42578125" style="27" customWidth="1"/>
    <col min="13832" max="13833" width="7.85546875" style="27" customWidth="1"/>
    <col min="13834" max="13834" width="9.28515625" style="27" customWidth="1"/>
    <col min="13835" max="13835" width="20.85546875" style="27" bestFit="1" customWidth="1"/>
    <col min="13836" max="13836" width="14.7109375" style="27" customWidth="1"/>
    <col min="13837" max="13837" width="9.140625" style="27"/>
    <col min="13838" max="13838" width="11.28515625" style="27" customWidth="1"/>
    <col min="13839" max="13839" width="16.85546875" style="27" customWidth="1"/>
    <col min="13840" max="14079" width="9.140625" style="27"/>
    <col min="14080" max="14080" width="9.28515625" style="27" customWidth="1"/>
    <col min="14081" max="14081" width="37.42578125" style="27" customWidth="1"/>
    <col min="14082" max="14082" width="9.140625" style="27" customWidth="1"/>
    <col min="14083" max="14083" width="6.5703125" style="27" customWidth="1"/>
    <col min="14084" max="14084" width="9.140625" style="27"/>
    <col min="14085" max="14085" width="5.28515625" style="27" customWidth="1"/>
    <col min="14086" max="14086" width="8" style="27" customWidth="1"/>
    <col min="14087" max="14087" width="6.42578125" style="27" customWidth="1"/>
    <col min="14088" max="14089" width="7.85546875" style="27" customWidth="1"/>
    <col min="14090" max="14090" width="9.28515625" style="27" customWidth="1"/>
    <col min="14091" max="14091" width="20.85546875" style="27" bestFit="1" customWidth="1"/>
    <col min="14092" max="14092" width="14.7109375" style="27" customWidth="1"/>
    <col min="14093" max="14093" width="9.140625" style="27"/>
    <col min="14094" max="14094" width="11.28515625" style="27" customWidth="1"/>
    <col min="14095" max="14095" width="16.85546875" style="27" customWidth="1"/>
    <col min="14096" max="14335" width="9.140625" style="27"/>
    <col min="14336" max="14336" width="9.28515625" style="27" customWidth="1"/>
    <col min="14337" max="14337" width="37.42578125" style="27" customWidth="1"/>
    <col min="14338" max="14338" width="9.140625" style="27" customWidth="1"/>
    <col min="14339" max="14339" width="6.5703125" style="27" customWidth="1"/>
    <col min="14340" max="14340" width="9.140625" style="27"/>
    <col min="14341" max="14341" width="5.28515625" style="27" customWidth="1"/>
    <col min="14342" max="14342" width="8" style="27" customWidth="1"/>
    <col min="14343" max="14343" width="6.42578125" style="27" customWidth="1"/>
    <col min="14344" max="14345" width="7.85546875" style="27" customWidth="1"/>
    <col min="14346" max="14346" width="9.28515625" style="27" customWidth="1"/>
    <col min="14347" max="14347" width="20.85546875" style="27" bestFit="1" customWidth="1"/>
    <col min="14348" max="14348" width="14.7109375" style="27" customWidth="1"/>
    <col min="14349" max="14349" width="9.140625" style="27"/>
    <col min="14350" max="14350" width="11.28515625" style="27" customWidth="1"/>
    <col min="14351" max="14351" width="16.85546875" style="27" customWidth="1"/>
    <col min="14352" max="14591" width="9.140625" style="27"/>
    <col min="14592" max="14592" width="9.28515625" style="27" customWidth="1"/>
    <col min="14593" max="14593" width="37.42578125" style="27" customWidth="1"/>
    <col min="14594" max="14594" width="9.140625" style="27" customWidth="1"/>
    <col min="14595" max="14595" width="6.5703125" style="27" customWidth="1"/>
    <col min="14596" max="14596" width="9.140625" style="27"/>
    <col min="14597" max="14597" width="5.28515625" style="27" customWidth="1"/>
    <col min="14598" max="14598" width="8" style="27" customWidth="1"/>
    <col min="14599" max="14599" width="6.42578125" style="27" customWidth="1"/>
    <col min="14600" max="14601" width="7.85546875" style="27" customWidth="1"/>
    <col min="14602" max="14602" width="9.28515625" style="27" customWidth="1"/>
    <col min="14603" max="14603" width="20.85546875" style="27" bestFit="1" customWidth="1"/>
    <col min="14604" max="14604" width="14.7109375" style="27" customWidth="1"/>
    <col min="14605" max="14605" width="9.140625" style="27"/>
    <col min="14606" max="14606" width="11.28515625" style="27" customWidth="1"/>
    <col min="14607" max="14607" width="16.85546875" style="27" customWidth="1"/>
    <col min="14608" max="14847" width="9.140625" style="27"/>
    <col min="14848" max="14848" width="9.28515625" style="27" customWidth="1"/>
    <col min="14849" max="14849" width="37.42578125" style="27" customWidth="1"/>
    <col min="14850" max="14850" width="9.140625" style="27" customWidth="1"/>
    <col min="14851" max="14851" width="6.5703125" style="27" customWidth="1"/>
    <col min="14852" max="14852" width="9.140625" style="27"/>
    <col min="14853" max="14853" width="5.28515625" style="27" customWidth="1"/>
    <col min="14854" max="14854" width="8" style="27" customWidth="1"/>
    <col min="14855" max="14855" width="6.42578125" style="27" customWidth="1"/>
    <col min="14856" max="14857" width="7.85546875" style="27" customWidth="1"/>
    <col min="14858" max="14858" width="9.28515625" style="27" customWidth="1"/>
    <col min="14859" max="14859" width="20.85546875" style="27" bestFit="1" customWidth="1"/>
    <col min="14860" max="14860" width="14.7109375" style="27" customWidth="1"/>
    <col min="14861" max="14861" width="9.140625" style="27"/>
    <col min="14862" max="14862" width="11.28515625" style="27" customWidth="1"/>
    <col min="14863" max="14863" width="16.85546875" style="27" customWidth="1"/>
    <col min="14864" max="15103" width="9.140625" style="27"/>
    <col min="15104" max="15104" width="9.28515625" style="27" customWidth="1"/>
    <col min="15105" max="15105" width="37.42578125" style="27" customWidth="1"/>
    <col min="15106" max="15106" width="9.140625" style="27" customWidth="1"/>
    <col min="15107" max="15107" width="6.5703125" style="27" customWidth="1"/>
    <col min="15108" max="15108" width="9.140625" style="27"/>
    <col min="15109" max="15109" width="5.28515625" style="27" customWidth="1"/>
    <col min="15110" max="15110" width="8" style="27" customWidth="1"/>
    <col min="15111" max="15111" width="6.42578125" style="27" customWidth="1"/>
    <col min="15112" max="15113" width="7.85546875" style="27" customWidth="1"/>
    <col min="15114" max="15114" width="9.28515625" style="27" customWidth="1"/>
    <col min="15115" max="15115" width="20.85546875" style="27" bestFit="1" customWidth="1"/>
    <col min="15116" max="15116" width="14.7109375" style="27" customWidth="1"/>
    <col min="15117" max="15117" width="9.140625" style="27"/>
    <col min="15118" max="15118" width="11.28515625" style="27" customWidth="1"/>
    <col min="15119" max="15119" width="16.85546875" style="27" customWidth="1"/>
    <col min="15120" max="15359" width="9.140625" style="27"/>
    <col min="15360" max="15360" width="9.28515625" style="27" customWidth="1"/>
    <col min="15361" max="15361" width="37.42578125" style="27" customWidth="1"/>
    <col min="15362" max="15362" width="9.140625" style="27" customWidth="1"/>
    <col min="15363" max="15363" width="6.5703125" style="27" customWidth="1"/>
    <col min="15364" max="15364" width="9.140625" style="27"/>
    <col min="15365" max="15365" width="5.28515625" style="27" customWidth="1"/>
    <col min="15366" max="15366" width="8" style="27" customWidth="1"/>
    <col min="15367" max="15367" width="6.42578125" style="27" customWidth="1"/>
    <col min="15368" max="15369" width="7.85546875" style="27" customWidth="1"/>
    <col min="15370" max="15370" width="9.28515625" style="27" customWidth="1"/>
    <col min="15371" max="15371" width="20.85546875" style="27" bestFit="1" customWidth="1"/>
    <col min="15372" max="15372" width="14.7109375" style="27" customWidth="1"/>
    <col min="15373" max="15373" width="9.140625" style="27"/>
    <col min="15374" max="15374" width="11.28515625" style="27" customWidth="1"/>
    <col min="15375" max="15375" width="16.85546875" style="27" customWidth="1"/>
    <col min="15376" max="15615" width="9.140625" style="27"/>
    <col min="15616" max="15616" width="9.28515625" style="27" customWidth="1"/>
    <col min="15617" max="15617" width="37.42578125" style="27" customWidth="1"/>
    <col min="15618" max="15618" width="9.140625" style="27" customWidth="1"/>
    <col min="15619" max="15619" width="6.5703125" style="27" customWidth="1"/>
    <col min="15620" max="15620" width="9.140625" style="27"/>
    <col min="15621" max="15621" width="5.28515625" style="27" customWidth="1"/>
    <col min="15622" max="15622" width="8" style="27" customWidth="1"/>
    <col min="15623" max="15623" width="6.42578125" style="27" customWidth="1"/>
    <col min="15624" max="15625" width="7.85546875" style="27" customWidth="1"/>
    <col min="15626" max="15626" width="9.28515625" style="27" customWidth="1"/>
    <col min="15627" max="15627" width="20.85546875" style="27" bestFit="1" customWidth="1"/>
    <col min="15628" max="15628" width="14.7109375" style="27" customWidth="1"/>
    <col min="15629" max="15629" width="9.140625" style="27"/>
    <col min="15630" max="15630" width="11.28515625" style="27" customWidth="1"/>
    <col min="15631" max="15631" width="16.85546875" style="27" customWidth="1"/>
    <col min="15632" max="15871" width="9.140625" style="27"/>
    <col min="15872" max="15872" width="9.28515625" style="27" customWidth="1"/>
    <col min="15873" max="15873" width="37.42578125" style="27" customWidth="1"/>
    <col min="15874" max="15874" width="9.140625" style="27" customWidth="1"/>
    <col min="15875" max="15875" width="6.5703125" style="27" customWidth="1"/>
    <col min="15876" max="15876" width="9.140625" style="27"/>
    <col min="15877" max="15877" width="5.28515625" style="27" customWidth="1"/>
    <col min="15878" max="15878" width="8" style="27" customWidth="1"/>
    <col min="15879" max="15879" width="6.42578125" style="27" customWidth="1"/>
    <col min="15880" max="15881" width="7.85546875" style="27" customWidth="1"/>
    <col min="15882" max="15882" width="9.28515625" style="27" customWidth="1"/>
    <col min="15883" max="15883" width="20.85546875" style="27" bestFit="1" customWidth="1"/>
    <col min="15884" max="15884" width="14.7109375" style="27" customWidth="1"/>
    <col min="15885" max="15885" width="9.140625" style="27"/>
    <col min="15886" max="15886" width="11.28515625" style="27" customWidth="1"/>
    <col min="15887" max="15887" width="16.85546875" style="27" customWidth="1"/>
    <col min="15888" max="16127" width="9.140625" style="27"/>
    <col min="16128" max="16128" width="9.28515625" style="27" customWidth="1"/>
    <col min="16129" max="16129" width="37.42578125" style="27" customWidth="1"/>
    <col min="16130" max="16130" width="9.140625" style="27" customWidth="1"/>
    <col min="16131" max="16131" width="6.5703125" style="27" customWidth="1"/>
    <col min="16132" max="16132" width="9.140625" style="27"/>
    <col min="16133" max="16133" width="5.28515625" style="27" customWidth="1"/>
    <col min="16134" max="16134" width="8" style="27" customWidth="1"/>
    <col min="16135" max="16135" width="6.42578125" style="27" customWidth="1"/>
    <col min="16136" max="16137" width="7.85546875" style="27" customWidth="1"/>
    <col min="16138" max="16138" width="9.28515625" style="27" customWidth="1"/>
    <col min="16139" max="16139" width="20.85546875" style="27" bestFit="1" customWidth="1"/>
    <col min="16140" max="16140" width="14.7109375" style="27" customWidth="1"/>
    <col min="16141" max="16141" width="9.140625" style="27"/>
    <col min="16142" max="16142" width="11.28515625" style="27" customWidth="1"/>
    <col min="16143" max="16143" width="16.85546875" style="27" customWidth="1"/>
    <col min="16144" max="16384" width="9.140625" style="27"/>
  </cols>
  <sheetData>
    <row r="1" spans="1:22" x14ac:dyDescent="0.2">
      <c r="A1" s="87"/>
      <c r="B1" s="67"/>
      <c r="C1" s="30"/>
      <c r="D1" s="30"/>
      <c r="E1" s="30"/>
      <c r="F1" s="30"/>
      <c r="G1" s="30"/>
      <c r="H1" s="30"/>
      <c r="I1" s="30"/>
      <c r="J1" s="30"/>
      <c r="K1" s="30"/>
      <c r="L1" s="30"/>
      <c r="M1" s="30"/>
    </row>
    <row r="2" spans="1:22" x14ac:dyDescent="0.2">
      <c r="A2" s="87"/>
      <c r="B2" s="67"/>
      <c r="C2" s="30"/>
      <c r="D2" s="30"/>
      <c r="E2" s="30"/>
      <c r="F2" s="30"/>
      <c r="G2" s="30"/>
      <c r="H2" s="30"/>
      <c r="I2" s="30"/>
      <c r="J2" s="30"/>
      <c r="K2" s="30"/>
      <c r="L2" s="30"/>
      <c r="M2" s="30"/>
      <c r="O2" s="200" t="s">
        <v>118</v>
      </c>
      <c r="P2" s="180">
        <f>PLANILHA!K69-PLANILHA!K14</f>
        <v>317304.51</v>
      </c>
      <c r="S2" s="200" t="s">
        <v>118</v>
      </c>
      <c r="T2" s="180">
        <f>SUM(PLANILHA!K13:K68)/2</f>
        <v>335000</v>
      </c>
    </row>
    <row r="3" spans="1:22" x14ac:dyDescent="0.2">
      <c r="A3" s="400" t="s">
        <v>1</v>
      </c>
      <c r="B3" s="400"/>
      <c r="C3" s="400"/>
      <c r="D3" s="400"/>
      <c r="E3" s="400"/>
      <c r="F3" s="400"/>
      <c r="G3" s="400"/>
      <c r="H3" s="400"/>
      <c r="I3" s="400"/>
      <c r="J3" s="400"/>
      <c r="K3" s="400"/>
      <c r="L3" s="400"/>
      <c r="M3" s="400"/>
      <c r="N3" s="400"/>
      <c r="O3" s="200" t="s">
        <v>117</v>
      </c>
      <c r="P3" s="180">
        <f>PLANILHA!L69</f>
        <v>124193.35</v>
      </c>
      <c r="Q3" s="180">
        <v>246352.6</v>
      </c>
      <c r="S3" s="200" t="s">
        <v>119</v>
      </c>
      <c r="T3" s="180" t="e">
        <f>(SUM(PLANILHA!#REF!)-(PLANILHA!#REF!))/2</f>
        <v>#REF!</v>
      </c>
      <c r="V3" s="27" t="s">
        <v>124</v>
      </c>
    </row>
    <row r="4" spans="1:22" x14ac:dyDescent="0.2">
      <c r="A4" s="400" t="s">
        <v>25</v>
      </c>
      <c r="B4" s="400"/>
      <c r="C4" s="400"/>
      <c r="D4" s="400"/>
      <c r="E4" s="400"/>
      <c r="F4" s="400"/>
      <c r="G4" s="400"/>
      <c r="H4" s="400"/>
      <c r="I4" s="400"/>
      <c r="J4" s="400"/>
      <c r="K4" s="400"/>
      <c r="L4" s="400"/>
      <c r="M4" s="400"/>
      <c r="N4" s="400"/>
      <c r="O4" s="200" t="s">
        <v>110</v>
      </c>
      <c r="P4" s="180">
        <f>P3-Q3</f>
        <v>-122159.25</v>
      </c>
      <c r="Q4" s="180"/>
      <c r="S4" s="200" t="s">
        <v>120</v>
      </c>
      <c r="T4" s="180" t="e">
        <f>SUM(PLANILHA!L15:L19,PLANILHA!L21,PLANILHA!L25,PLANILHA!L29,PLANILHA!L32,PLANILHA!L34,PLANILHA!L36,PLANILHA!L51,PLANILHA!L56,PLANILHA!L59,PLANILHA!L62,PLANILHA!L64,PLANILHA!#REF!,PLANILHA!#REF!,PLANILHA!#REF!,PLANILHA!#REF!,PLANILHA!#REF!,PLANILHA!#REF!)</f>
        <v>#REF!</v>
      </c>
      <c r="U4" s="180">
        <v>323198.84999999998</v>
      </c>
      <c r="V4" s="178" t="e">
        <f>T4-U4</f>
        <v>#REF!</v>
      </c>
    </row>
    <row r="5" spans="1:22" x14ac:dyDescent="0.2">
      <c r="A5" s="400" t="s">
        <v>26</v>
      </c>
      <c r="B5" s="400"/>
      <c r="C5" s="400"/>
      <c r="D5" s="400"/>
      <c r="E5" s="400"/>
      <c r="F5" s="400"/>
      <c r="G5" s="400"/>
      <c r="H5" s="400"/>
      <c r="I5" s="400"/>
      <c r="J5" s="400"/>
      <c r="K5" s="400"/>
      <c r="L5" s="400"/>
      <c r="M5" s="400"/>
      <c r="N5" s="400"/>
      <c r="O5" s="200" t="s">
        <v>111</v>
      </c>
      <c r="P5" s="181">
        <f>P4/P2</f>
        <v>-0.38500000000000001</v>
      </c>
      <c r="Q5" s="27">
        <f>1373261.23/2</f>
        <v>686630.62</v>
      </c>
      <c r="S5" s="200" t="s">
        <v>121</v>
      </c>
      <c r="T5" s="180" t="e">
        <f>SUM(PLANILHA!#REF!)/2</f>
        <v>#REF!</v>
      </c>
      <c r="U5" s="180">
        <v>10346.24</v>
      </c>
      <c r="V5" s="178" t="e">
        <f>T5-U5</f>
        <v>#REF!</v>
      </c>
    </row>
    <row r="6" spans="1:22" x14ac:dyDescent="0.2">
      <c r="A6" s="400" t="s">
        <v>27</v>
      </c>
      <c r="B6" s="400"/>
      <c r="C6" s="400"/>
      <c r="D6" s="400"/>
      <c r="E6" s="400"/>
      <c r="F6" s="400"/>
      <c r="G6" s="400"/>
      <c r="H6" s="400"/>
      <c r="I6" s="400"/>
      <c r="J6" s="400"/>
      <c r="K6" s="400"/>
      <c r="L6" s="400"/>
      <c r="M6" s="400"/>
      <c r="N6" s="400"/>
      <c r="O6" s="200" t="s">
        <v>112</v>
      </c>
      <c r="P6" s="182">
        <f>P5</f>
        <v>-0.38500000000000001</v>
      </c>
      <c r="Q6" s="27">
        <f>(141055.2-2917.43)/2</f>
        <v>69068.89</v>
      </c>
      <c r="S6" s="200" t="s">
        <v>122</v>
      </c>
      <c r="T6" s="181" t="e">
        <f>V4/T2</f>
        <v>#REF!</v>
      </c>
      <c r="V6" s="183" t="e">
        <f>SUM(V4:V5)</f>
        <v>#REF!</v>
      </c>
    </row>
    <row r="7" spans="1:22" x14ac:dyDescent="0.2">
      <c r="A7" s="203"/>
      <c r="B7" s="203"/>
      <c r="C7" s="203"/>
      <c r="D7" s="203"/>
      <c r="E7" s="203"/>
      <c r="F7" s="203"/>
      <c r="G7" s="203"/>
      <c r="H7" s="203"/>
      <c r="I7" s="203"/>
      <c r="J7" s="203"/>
      <c r="K7" s="203"/>
      <c r="L7" s="203"/>
      <c r="M7" s="410" t="s">
        <v>211</v>
      </c>
      <c r="N7" s="411"/>
      <c r="O7" s="200"/>
      <c r="P7" s="182"/>
      <c r="S7" s="200"/>
      <c r="T7" s="181"/>
      <c r="V7" s="183"/>
    </row>
    <row r="8" spans="1:22" ht="12.75" x14ac:dyDescent="0.2">
      <c r="A8" s="87"/>
      <c r="B8" s="67"/>
      <c r="C8" s="30"/>
      <c r="D8" s="30"/>
      <c r="E8" s="30"/>
      <c r="F8" s="30"/>
      <c r="G8" s="30"/>
      <c r="H8" s="30"/>
      <c r="I8" s="30"/>
      <c r="K8" s="203"/>
      <c r="L8" s="203"/>
      <c r="M8" s="309"/>
      <c r="N8" s="276" t="s">
        <v>225</v>
      </c>
      <c r="Q8" s="27">
        <f>SUM(Q5:Q6)</f>
        <v>755699.51</v>
      </c>
      <c r="R8" s="27">
        <f>PLANILHA!K69</f>
        <v>335000</v>
      </c>
      <c r="S8" s="200" t="s">
        <v>123</v>
      </c>
      <c r="T8" s="181" t="e">
        <f>V5/T3</f>
        <v>#REF!</v>
      </c>
    </row>
    <row r="9" spans="1:22" x14ac:dyDescent="0.2">
      <c r="A9" s="88"/>
      <c r="B9" s="67"/>
      <c r="C9" s="30"/>
      <c r="D9" s="30"/>
      <c r="E9" s="30"/>
      <c r="F9" s="30"/>
      <c r="G9" s="30"/>
      <c r="H9" s="30"/>
      <c r="I9" s="30"/>
      <c r="K9" s="203"/>
      <c r="L9" s="203"/>
      <c r="M9" s="231"/>
      <c r="N9" s="232"/>
      <c r="R9" s="27">
        <f>Q8-R8</f>
        <v>420699.51</v>
      </c>
      <c r="S9" s="200" t="s">
        <v>112</v>
      </c>
      <c r="T9" s="182" t="e">
        <f>T6</f>
        <v>#REF!</v>
      </c>
    </row>
    <row r="10" spans="1:22" ht="26.25" customHeight="1" x14ac:dyDescent="0.2">
      <c r="A10" s="404" t="str">
        <f>PLANILHA!B8</f>
        <v>CONSTITUI O PRESENTE OBJETO A CONTRATAÇÃO DE EMPRESA ESPECIALIZADA PARA EXECUÇÃO DE OBRA DA COBERTURA DA QUADRA POLIESPORTIVA DO 8º BATALHÃO DE POLICIA MILITAR, LOCALIZADO NA RUA PROF. MARIO PINOTI, 218, NOVA CRUZ/RN.</v>
      </c>
      <c r="B10" s="405"/>
      <c r="C10" s="405"/>
      <c r="D10" s="405"/>
      <c r="E10" s="405"/>
      <c r="F10" s="405"/>
      <c r="G10" s="405"/>
      <c r="H10" s="405"/>
      <c r="I10" s="405"/>
      <c r="J10" s="405"/>
      <c r="K10" s="405"/>
      <c r="L10" s="405"/>
      <c r="M10" s="405"/>
      <c r="N10" s="406"/>
      <c r="S10" s="62"/>
      <c r="T10" s="31"/>
    </row>
    <row r="11" spans="1:22" x14ac:dyDescent="0.2">
      <c r="A11" s="407" t="s">
        <v>234</v>
      </c>
      <c r="B11" s="408"/>
      <c r="C11" s="408"/>
      <c r="D11" s="408"/>
      <c r="E11" s="408"/>
      <c r="F11" s="408"/>
      <c r="G11" s="408"/>
      <c r="H11" s="408"/>
      <c r="I11" s="408"/>
      <c r="J11" s="408"/>
      <c r="K11" s="408"/>
      <c r="L11" s="408"/>
      <c r="M11" s="408"/>
      <c r="N11" s="409"/>
      <c r="S11" s="62"/>
      <c r="T11" s="31"/>
    </row>
    <row r="12" spans="1:22" x14ac:dyDescent="0.2">
      <c r="A12" s="89"/>
      <c r="B12" s="68"/>
      <c r="C12" s="28"/>
      <c r="D12" s="28"/>
      <c r="E12" s="28"/>
      <c r="F12" s="28"/>
      <c r="G12" s="28"/>
      <c r="H12" s="28"/>
      <c r="I12" s="28"/>
      <c r="J12" s="28"/>
      <c r="K12" s="28"/>
      <c r="L12" s="28"/>
      <c r="M12" s="28"/>
      <c r="N12" s="81"/>
    </row>
    <row r="13" spans="1:22" x14ac:dyDescent="0.2">
      <c r="A13" s="401" t="s">
        <v>62</v>
      </c>
      <c r="B13" s="402"/>
      <c r="C13" s="402"/>
      <c r="D13" s="402"/>
      <c r="E13" s="402"/>
      <c r="F13" s="402"/>
      <c r="G13" s="402"/>
      <c r="H13" s="402"/>
      <c r="I13" s="402"/>
      <c r="J13" s="402"/>
      <c r="K13" s="402"/>
      <c r="L13" s="402"/>
      <c r="M13" s="402"/>
      <c r="N13" s="403"/>
    </row>
    <row r="14" spans="1:22" ht="12" thickBot="1" x14ac:dyDescent="0.25">
      <c r="A14" s="90"/>
      <c r="B14" s="67"/>
      <c r="C14" s="30"/>
      <c r="D14" s="30"/>
      <c r="E14" s="30"/>
      <c r="F14" s="30"/>
      <c r="G14" s="30"/>
      <c r="H14" s="30"/>
      <c r="I14" s="30"/>
      <c r="J14" s="30"/>
      <c r="K14" s="30"/>
      <c r="L14" s="30"/>
      <c r="M14" s="30"/>
      <c r="N14" s="82"/>
      <c r="O14" s="62" t="s">
        <v>115</v>
      </c>
    </row>
    <row r="15" spans="1:22" ht="23.25" thickBot="1" x14ac:dyDescent="0.25">
      <c r="A15" s="91" t="s">
        <v>63</v>
      </c>
      <c r="B15" s="69" t="s">
        <v>64</v>
      </c>
      <c r="C15" s="66" t="s">
        <v>3</v>
      </c>
      <c r="D15" s="66" t="s">
        <v>65</v>
      </c>
      <c r="E15" s="66" t="s">
        <v>66</v>
      </c>
      <c r="F15" s="66" t="s">
        <v>67</v>
      </c>
      <c r="G15" s="66" t="s">
        <v>54</v>
      </c>
      <c r="H15" s="66" t="s">
        <v>69</v>
      </c>
      <c r="I15" s="66" t="s">
        <v>81</v>
      </c>
      <c r="J15" s="66" t="s">
        <v>68</v>
      </c>
      <c r="K15" s="66" t="s">
        <v>105</v>
      </c>
      <c r="L15" s="65" t="s">
        <v>106</v>
      </c>
      <c r="M15" s="66" t="s">
        <v>36</v>
      </c>
      <c r="N15" s="83" t="s">
        <v>35</v>
      </c>
      <c r="O15" s="61" t="s">
        <v>114</v>
      </c>
    </row>
    <row r="16" spans="1:22" x14ac:dyDescent="0.2">
      <c r="A16" s="92"/>
      <c r="B16" s="70"/>
      <c r="C16" s="64"/>
      <c r="D16" s="64"/>
      <c r="E16" s="64"/>
      <c r="F16" s="64"/>
      <c r="G16" s="64"/>
      <c r="H16" s="64"/>
      <c r="I16" s="64"/>
      <c r="J16" s="64"/>
      <c r="K16" s="64"/>
      <c r="L16" s="64"/>
      <c r="M16" s="64"/>
      <c r="N16" s="81"/>
      <c r="O16" s="61" t="s">
        <v>114</v>
      </c>
      <c r="P16" s="311"/>
    </row>
    <row r="17" spans="1:123" s="35" customFormat="1" x14ac:dyDescent="0.2">
      <c r="A17" s="94" t="str">
        <f>PLANILHA!A13</f>
        <v xml:space="preserve"> 1.</v>
      </c>
      <c r="B17" s="230" t="str">
        <f>VLOOKUP(A17,PLANILHA!A:N,2,FALSE)</f>
        <v>SERVIÇOS PRELIMINARES</v>
      </c>
      <c r="C17" s="49"/>
      <c r="D17" s="50"/>
      <c r="E17" s="50"/>
      <c r="F17" s="50"/>
      <c r="G17" s="50"/>
      <c r="H17" s="50"/>
      <c r="I17" s="50"/>
      <c r="J17" s="50"/>
      <c r="K17" s="50"/>
      <c r="L17" s="50"/>
      <c r="M17" s="51"/>
      <c r="N17" s="52"/>
      <c r="O17" s="176" t="s">
        <v>114</v>
      </c>
      <c r="P17" s="311"/>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c r="CU17" s="27"/>
      <c r="CV17" s="27"/>
      <c r="CW17" s="27"/>
      <c r="CX17" s="27"/>
      <c r="CY17" s="27"/>
      <c r="CZ17" s="27"/>
      <c r="DA17" s="27"/>
      <c r="DB17" s="27"/>
      <c r="DC17" s="27"/>
      <c r="DD17" s="27"/>
      <c r="DE17" s="27"/>
      <c r="DF17" s="27"/>
      <c r="DG17" s="27"/>
      <c r="DH17" s="27"/>
      <c r="DI17" s="27"/>
      <c r="DJ17" s="27"/>
      <c r="DK17" s="27"/>
      <c r="DL17" s="27"/>
      <c r="DM17" s="27"/>
      <c r="DN17" s="27"/>
      <c r="DO17" s="27"/>
      <c r="DP17" s="27"/>
      <c r="DQ17" s="27"/>
      <c r="DR17" s="27"/>
      <c r="DS17" s="27"/>
    </row>
    <row r="18" spans="1:123" x14ac:dyDescent="0.2">
      <c r="A18" s="95" t="str">
        <f>PLANILHA!A14</f>
        <v xml:space="preserve"> 1.1</v>
      </c>
      <c r="B18" s="72" t="str">
        <f>VLOOKUP(A18,PLANILHA!A:N,2,FALSE)</f>
        <v>ADMINISTRAÇÃO LOCAL DA OBRA</v>
      </c>
      <c r="C18" s="32" t="str">
        <f>VLOOKUP(A18,PLANILHA!A:N,3,FALSE)</f>
        <v>UN</v>
      </c>
      <c r="D18" s="33"/>
      <c r="E18" s="33"/>
      <c r="F18" s="33"/>
      <c r="G18" s="33"/>
      <c r="H18" s="33"/>
      <c r="I18" s="33"/>
      <c r="J18" s="33"/>
      <c r="K18" s="33"/>
      <c r="L18" s="33">
        <f>SUM(K19:K21)</f>
        <v>0.35</v>
      </c>
      <c r="M18" s="34">
        <f>VLOOKUP(A18,PLANILHA!A:N,4,FALSE)</f>
        <v>1</v>
      </c>
      <c r="N18" s="48">
        <f>VLOOKUP(A18,PLANILHA!A:N,7,FALSE)</f>
        <v>0.42</v>
      </c>
      <c r="O18" s="177" t="s">
        <v>114</v>
      </c>
      <c r="P18" s="311">
        <v>17695.490000000002</v>
      </c>
    </row>
    <row r="19" spans="1:123" s="31" customFormat="1" x14ac:dyDescent="0.2">
      <c r="A19" s="96"/>
      <c r="B19" s="73"/>
      <c r="C19" s="42"/>
      <c r="D19" s="84"/>
      <c r="E19" s="84"/>
      <c r="F19" s="84"/>
      <c r="G19" s="84"/>
      <c r="H19" s="84"/>
      <c r="I19" s="84"/>
      <c r="J19" s="84"/>
      <c r="K19" s="84"/>
      <c r="L19" s="85"/>
      <c r="M19" s="43"/>
      <c r="N19" s="86"/>
      <c r="O19" s="177" t="s">
        <v>114</v>
      </c>
      <c r="P19" s="311"/>
    </row>
    <row r="20" spans="1:123" s="31" customFormat="1" x14ac:dyDescent="0.2">
      <c r="A20" s="302" t="s">
        <v>225</v>
      </c>
      <c r="B20" s="74" t="s">
        <v>113</v>
      </c>
      <c r="C20" s="42"/>
      <c r="D20" s="84"/>
      <c r="F20" s="84"/>
      <c r="G20" s="84">
        <v>0.35</v>
      </c>
      <c r="H20" s="84"/>
      <c r="I20" s="84"/>
      <c r="J20" s="84"/>
      <c r="K20" s="84">
        <f>G20</f>
        <v>0.35</v>
      </c>
      <c r="L20" s="30"/>
      <c r="M20" s="43"/>
      <c r="N20" s="86"/>
      <c r="O20" s="177" t="s">
        <v>114</v>
      </c>
      <c r="P20" s="311">
        <v>6195.01</v>
      </c>
    </row>
    <row r="21" spans="1:123" s="31" customFormat="1" x14ac:dyDescent="0.2">
      <c r="A21" s="96"/>
      <c r="B21" s="73"/>
      <c r="C21" s="42"/>
      <c r="D21" s="84"/>
      <c r="E21" s="84"/>
      <c r="F21" s="84"/>
      <c r="G21" s="84"/>
      <c r="H21" s="84"/>
      <c r="I21" s="84"/>
      <c r="J21" s="84"/>
      <c r="K21" s="84"/>
      <c r="L21" s="84"/>
      <c r="M21" s="84"/>
      <c r="N21" s="86"/>
      <c r="O21" s="177" t="s">
        <v>114</v>
      </c>
    </row>
    <row r="22" spans="1:123" x14ac:dyDescent="0.2">
      <c r="A22" s="95" t="str">
        <f>PLANILHA!A15</f>
        <v xml:space="preserve"> 1.2</v>
      </c>
      <c r="B22" s="72" t="str">
        <f>VLOOKUP(A22,PLANILHA!A:N,2,FALSE)</f>
        <v>REGULARIZAÇÃO DE OBRA - ART - 2025</v>
      </c>
      <c r="C22" s="32" t="str">
        <f>VLOOKUP(A22,PLANILHA!A:N,3,FALSE)</f>
        <v>UN</v>
      </c>
      <c r="D22" s="33"/>
      <c r="E22" s="33"/>
      <c r="F22" s="33"/>
      <c r="G22" s="33"/>
      <c r="H22" s="33"/>
      <c r="I22" s="33"/>
      <c r="J22" s="33"/>
      <c r="K22" s="33"/>
      <c r="L22" s="33">
        <f>SUM(K23:K24)</f>
        <v>0</v>
      </c>
      <c r="M22" s="34">
        <f>VLOOKUP(A22,PLANILHA!A:N,4,FALSE)</f>
        <v>1</v>
      </c>
      <c r="N22" s="48">
        <f>VLOOKUP(A22,PLANILHA!A:N,7,FALSE)</f>
        <v>0</v>
      </c>
      <c r="O22" s="177" t="s">
        <v>114</v>
      </c>
    </row>
    <row r="23" spans="1:123" s="31" customFormat="1" x14ac:dyDescent="0.2">
      <c r="A23" s="96"/>
      <c r="B23" s="73"/>
      <c r="C23" s="42"/>
      <c r="D23" s="84"/>
      <c r="E23" s="84"/>
      <c r="F23" s="84"/>
      <c r="G23" s="84"/>
      <c r="H23" s="84"/>
      <c r="I23" s="84"/>
      <c r="J23" s="84"/>
      <c r="K23" s="84"/>
      <c r="L23" s="85"/>
      <c r="M23" s="43"/>
      <c r="N23" s="86"/>
      <c r="O23" s="177" t="s">
        <v>114</v>
      </c>
    </row>
    <row r="24" spans="1:123" s="31" customFormat="1" x14ac:dyDescent="0.2">
      <c r="A24" s="96"/>
      <c r="B24" s="73"/>
      <c r="C24" s="42"/>
      <c r="D24" s="84"/>
      <c r="E24" s="84"/>
      <c r="F24" s="84"/>
      <c r="G24" s="84"/>
      <c r="H24" s="84"/>
      <c r="I24" s="84"/>
      <c r="J24" s="84"/>
      <c r="K24" s="84"/>
      <c r="L24" s="84"/>
      <c r="M24" s="84"/>
      <c r="N24" s="86"/>
      <c r="O24" s="63" t="s">
        <v>114</v>
      </c>
    </row>
    <row r="25" spans="1:123" ht="22.5" x14ac:dyDescent="0.2">
      <c r="A25" s="95" t="str">
        <f>PLANILHA!A16</f>
        <v>1.3</v>
      </c>
      <c r="B25" s="75" t="str">
        <f>VLOOKUP(A25,PLANILHA!A:N,2,FALSE)</f>
        <v>FORNECIMENTO E INSTALAÇÃO DE PLACA DE OBRA COM CHAPA GALVANIZADA E ESTRUTURA DE MADEIRA. AF_03/2022_PS</v>
      </c>
      <c r="C25" s="32" t="str">
        <f>VLOOKUP(A25,PLANILHA!A:N,3,FALSE)</f>
        <v>m²</v>
      </c>
      <c r="D25" s="33"/>
      <c r="E25" s="33"/>
      <c r="F25" s="33"/>
      <c r="G25" s="33"/>
      <c r="H25" s="33"/>
      <c r="I25" s="33"/>
      <c r="J25" s="33"/>
      <c r="K25" s="33"/>
      <c r="L25" s="33">
        <f>SUM(K26:K27)</f>
        <v>0</v>
      </c>
      <c r="M25" s="34">
        <f>VLOOKUP(A25,PLANILHA!A:N,4,FALSE)</f>
        <v>6</v>
      </c>
      <c r="N25" s="48">
        <f>VLOOKUP(A25,PLANILHA!A:N,7,FALSE)</f>
        <v>0</v>
      </c>
      <c r="O25" s="63" t="s">
        <v>114</v>
      </c>
    </row>
    <row r="26" spans="1:123" s="31" customFormat="1" x14ac:dyDescent="0.2">
      <c r="A26" s="97"/>
      <c r="B26" s="73"/>
      <c r="C26" s="42"/>
      <c r="D26" s="84"/>
      <c r="E26" s="84"/>
      <c r="F26" s="84"/>
      <c r="G26" s="84"/>
      <c r="H26" s="84"/>
      <c r="I26" s="84"/>
      <c r="J26" s="84"/>
      <c r="K26" s="84"/>
      <c r="L26" s="85"/>
      <c r="M26" s="43"/>
      <c r="N26" s="86"/>
      <c r="O26" s="63" t="s">
        <v>114</v>
      </c>
    </row>
    <row r="27" spans="1:123" s="31" customFormat="1" x14ac:dyDescent="0.2">
      <c r="A27" s="96"/>
      <c r="B27" s="73"/>
      <c r="C27" s="42"/>
      <c r="D27" s="84"/>
      <c r="E27" s="84"/>
      <c r="F27" s="84"/>
      <c r="G27" s="84"/>
      <c r="H27" s="84"/>
      <c r="I27" s="84"/>
      <c r="J27" s="84"/>
      <c r="K27" s="84"/>
      <c r="L27" s="84"/>
      <c r="M27" s="84"/>
      <c r="N27" s="86"/>
      <c r="O27" s="63" t="s">
        <v>114</v>
      </c>
    </row>
    <row r="28" spans="1:123" ht="11.25" customHeight="1" x14ac:dyDescent="0.2">
      <c r="A28" s="95" t="str">
        <f>PLANILHA!A17</f>
        <v>1.4</v>
      </c>
      <c r="B28" s="75" t="str">
        <f>VLOOKUP(A28,PLANILHA!A:N,2,FALSE)</f>
        <v>MOBILIZAÇÃO DE EQUIPAMENTOS EM CAMINHÃO EQUIPADO COM GUINDASTE</v>
      </c>
      <c r="C28" s="32" t="str">
        <f>VLOOKUP(A28,PLANILHA!A:N,3,FALSE)</f>
        <v>KM</v>
      </c>
      <c r="D28" s="33"/>
      <c r="E28" s="33"/>
      <c r="F28" s="33"/>
      <c r="G28" s="33"/>
      <c r="H28" s="33"/>
      <c r="I28" s="33"/>
      <c r="J28" s="33"/>
      <c r="K28" s="33"/>
      <c r="L28" s="33">
        <f>SUM(K29:K30)</f>
        <v>0</v>
      </c>
      <c r="M28" s="34">
        <f>VLOOKUP(A28,PLANILHA!A:N,4,FALSE)</f>
        <v>50</v>
      </c>
      <c r="N28" s="48">
        <f>VLOOKUP(A28,PLANILHA!A:N,7,FALSE)</f>
        <v>0</v>
      </c>
      <c r="O28" s="63" t="s">
        <v>114</v>
      </c>
    </row>
    <row r="29" spans="1:123" s="31" customFormat="1" x14ac:dyDescent="0.2">
      <c r="A29" s="98"/>
      <c r="B29" s="73"/>
      <c r="C29" s="42"/>
      <c r="D29" s="84"/>
      <c r="E29" s="84"/>
      <c r="F29" s="84"/>
      <c r="G29" s="84"/>
      <c r="H29" s="84"/>
      <c r="I29" s="84"/>
      <c r="J29" s="84"/>
      <c r="K29" s="84"/>
      <c r="L29" s="85"/>
      <c r="M29" s="43"/>
      <c r="N29" s="54"/>
      <c r="O29" s="63" t="s">
        <v>114</v>
      </c>
    </row>
    <row r="30" spans="1:123" s="31" customFormat="1" x14ac:dyDescent="0.2">
      <c r="A30" s="98"/>
      <c r="B30" s="73"/>
      <c r="C30" s="42"/>
      <c r="D30" s="84"/>
      <c r="E30" s="84"/>
      <c r="F30" s="84"/>
      <c r="G30" s="84"/>
      <c r="H30" s="84"/>
      <c r="I30" s="84"/>
      <c r="J30" s="84"/>
      <c r="K30" s="84"/>
      <c r="L30" s="84"/>
      <c r="M30" s="84"/>
      <c r="N30" s="54"/>
      <c r="O30" s="63" t="s">
        <v>114</v>
      </c>
    </row>
    <row r="31" spans="1:123" ht="22.5" x14ac:dyDescent="0.2">
      <c r="A31" s="95" t="str">
        <f>PLANILHA!A18</f>
        <v>1.5</v>
      </c>
      <c r="B31" s="75" t="str">
        <f>VLOOKUP(A31,PLANILHA!A:N,2,FALSE)</f>
        <v>DEMOLIÇÃO DE PISO DE CIMENTADO SOBRE LASTRO DE CONCRETO SIMPLES/CALCETAMENTO. R_11/2020</v>
      </c>
      <c r="C31" s="32" t="str">
        <f>VLOOKUP(A31,PLANILHA!A:N,3,FALSE)</f>
        <v>m²</v>
      </c>
      <c r="D31" s="33"/>
      <c r="E31" s="33"/>
      <c r="F31" s="33"/>
      <c r="G31" s="33"/>
      <c r="H31" s="33"/>
      <c r="I31" s="33"/>
      <c r="J31" s="33"/>
      <c r="K31" s="33"/>
      <c r="L31" s="33">
        <f>SUM(K32:K33)</f>
        <v>0</v>
      </c>
      <c r="M31" s="34">
        <f>VLOOKUP(A31,PLANILHA!A:N,4,FALSE)</f>
        <v>23.66</v>
      </c>
      <c r="N31" s="48">
        <f>VLOOKUP(A31,PLANILHA!A:N,7,FALSE)</f>
        <v>0.01</v>
      </c>
      <c r="O31" s="63" t="s">
        <v>114</v>
      </c>
    </row>
    <row r="32" spans="1:123" s="31" customFormat="1" x14ac:dyDescent="0.2">
      <c r="A32" s="98"/>
      <c r="B32" s="73"/>
      <c r="C32" s="42"/>
      <c r="D32" s="84"/>
      <c r="E32" s="84"/>
      <c r="F32" s="84"/>
      <c r="G32" s="84"/>
      <c r="H32" s="84"/>
      <c r="I32" s="84"/>
      <c r="J32" s="84"/>
      <c r="K32" s="84"/>
      <c r="L32" s="85"/>
      <c r="M32" s="43"/>
      <c r="N32" s="54"/>
      <c r="O32" s="63" t="s">
        <v>114</v>
      </c>
    </row>
    <row r="33" spans="1:123" s="31" customFormat="1" x14ac:dyDescent="0.2">
      <c r="A33" s="98"/>
      <c r="B33" s="73"/>
      <c r="C33" s="42"/>
      <c r="D33" s="84"/>
      <c r="E33" s="84"/>
      <c r="F33" s="84"/>
      <c r="G33" s="84"/>
      <c r="H33" s="84"/>
      <c r="I33" s="84"/>
      <c r="J33" s="84"/>
      <c r="K33" s="84"/>
      <c r="L33" s="84"/>
      <c r="M33" s="84"/>
      <c r="N33" s="54"/>
      <c r="O33" s="63" t="s">
        <v>114</v>
      </c>
    </row>
    <row r="34" spans="1:123" ht="22.5" x14ac:dyDescent="0.2">
      <c r="A34" s="95" t="str">
        <f>PLANILHA!A19</f>
        <v>1.6</v>
      </c>
      <c r="B34" s="75" t="str">
        <f>VLOOKUP(A34,PLANILHA!A:N,2,FALSE)</f>
        <v>DEMOLIÇÃO DE ALVENARIA DE BLOCO FURADO, DE FORMA MANUAL, SEM REAPROVEITAMENTO. AF_09/2023</v>
      </c>
      <c r="C34" s="32" t="str">
        <f>VLOOKUP(A34,PLANILHA!A:N,3,FALSE)</f>
        <v>m³</v>
      </c>
      <c r="D34" s="33"/>
      <c r="E34" s="33"/>
      <c r="F34" s="33"/>
      <c r="G34" s="33"/>
      <c r="H34" s="33"/>
      <c r="I34" s="33"/>
      <c r="J34" s="33"/>
      <c r="K34" s="33"/>
      <c r="L34" s="33">
        <f>SUM(K35:K36)</f>
        <v>0</v>
      </c>
      <c r="M34" s="34">
        <f>VLOOKUP(A34,PLANILHA!A:N,4,FALSE)</f>
        <v>3.46</v>
      </c>
      <c r="N34" s="48">
        <f>VLOOKUP(A34,PLANILHA!A:N,7,FALSE)</f>
        <v>0</v>
      </c>
      <c r="O34" s="63" t="s">
        <v>114</v>
      </c>
    </row>
    <row r="35" spans="1:123" s="31" customFormat="1" x14ac:dyDescent="0.2">
      <c r="A35" s="98"/>
      <c r="B35" s="73"/>
      <c r="C35" s="42"/>
      <c r="D35" s="84"/>
      <c r="E35" s="84"/>
      <c r="F35" s="84"/>
      <c r="G35" s="84"/>
      <c r="H35" s="84"/>
      <c r="I35" s="84"/>
      <c r="J35" s="84"/>
      <c r="K35" s="84"/>
      <c r="L35" s="85"/>
      <c r="M35" s="43"/>
      <c r="N35" s="54"/>
      <c r="O35" s="63" t="s">
        <v>114</v>
      </c>
    </row>
    <row r="36" spans="1:123" s="31" customFormat="1" x14ac:dyDescent="0.2">
      <c r="A36" s="98"/>
      <c r="B36" s="73"/>
      <c r="C36" s="42"/>
      <c r="D36" s="84"/>
      <c r="E36" s="84"/>
      <c r="F36" s="84"/>
      <c r="G36" s="84"/>
      <c r="H36" s="84"/>
      <c r="I36" s="84"/>
      <c r="J36" s="84"/>
      <c r="K36" s="84"/>
      <c r="L36" s="84"/>
      <c r="M36" s="84"/>
      <c r="N36" s="54"/>
      <c r="O36" s="63" t="s">
        <v>114</v>
      </c>
    </row>
    <row r="37" spans="1:123" s="286" customFormat="1" ht="22.5" x14ac:dyDescent="0.2">
      <c r="A37" s="289" t="str">
        <f>PLANILHA!A20</f>
        <v>1.7</v>
      </c>
      <c r="B37" s="290" t="str">
        <f>VLOOKUP(A37,PLANILHA!A:N,2,FALSE)</f>
        <v>REMOÇÃO DE POSTE DE CONCRETO ARMADO SEÇÃO CIRCULAR OU DUPLO T. INC_05/2021</v>
      </c>
      <c r="C37" s="291" t="str">
        <f>VLOOKUP(A37,PLANILHA!A:N,3,FALSE)</f>
        <v>un</v>
      </c>
      <c r="D37" s="282"/>
      <c r="E37" s="282"/>
      <c r="F37" s="282"/>
      <c r="G37" s="282"/>
      <c r="H37" s="282"/>
      <c r="I37" s="282"/>
      <c r="J37" s="282"/>
      <c r="K37" s="282"/>
      <c r="L37" s="282">
        <f>SUM(K38:K39)</f>
        <v>0</v>
      </c>
      <c r="M37" s="292">
        <f>VLOOKUP(A37,PLANILHA!A:N,4,FALSE)</f>
        <v>3</v>
      </c>
      <c r="N37" s="293">
        <f>VLOOKUP(A37,PLANILHA!A:N,7,FALSE)</f>
        <v>0</v>
      </c>
      <c r="O37" s="284" t="s">
        <v>114</v>
      </c>
      <c r="P37" s="285"/>
    </row>
    <row r="38" spans="1:123" s="285" customFormat="1" x14ac:dyDescent="0.2">
      <c r="A38" s="98"/>
      <c r="B38" s="73"/>
      <c r="C38" s="42"/>
      <c r="D38" s="84"/>
      <c r="E38" s="84"/>
      <c r="F38" s="84"/>
      <c r="G38" s="84"/>
      <c r="H38" s="84"/>
      <c r="I38" s="84"/>
      <c r="J38" s="84"/>
      <c r="K38" s="84"/>
      <c r="L38" s="85"/>
      <c r="M38" s="43"/>
      <c r="N38" s="287"/>
      <c r="O38" s="284" t="s">
        <v>114</v>
      </c>
    </row>
    <row r="39" spans="1:123" s="285" customFormat="1" x14ac:dyDescent="0.2">
      <c r="A39" s="98"/>
      <c r="B39" s="73"/>
      <c r="C39" s="42"/>
      <c r="D39" s="84"/>
      <c r="E39" s="84"/>
      <c r="F39" s="84"/>
      <c r="G39" s="84"/>
      <c r="H39" s="84"/>
      <c r="I39" s="84"/>
      <c r="J39" s="84"/>
      <c r="K39" s="84"/>
      <c r="L39" s="84"/>
      <c r="M39" s="84"/>
      <c r="N39" s="287"/>
      <c r="O39" s="284" t="s">
        <v>114</v>
      </c>
    </row>
    <row r="40" spans="1:123" s="35" customFormat="1" x14ac:dyDescent="0.2">
      <c r="A40" s="93">
        <f>PLANILHA!A21</f>
        <v>2</v>
      </c>
      <c r="B40" s="71" t="str">
        <f>PLANILHA!B21</f>
        <v>MOVIMENTO DE TERRA</v>
      </c>
      <c r="C40" s="49"/>
      <c r="D40" s="50"/>
      <c r="E40" s="50"/>
      <c r="F40" s="50"/>
      <c r="G40" s="50"/>
      <c r="H40" s="50"/>
      <c r="I40" s="50"/>
      <c r="J40" s="50"/>
      <c r="K40" s="50"/>
      <c r="L40" s="50"/>
      <c r="M40" s="51"/>
      <c r="N40" s="52"/>
      <c r="O40" s="62" t="s">
        <v>114</v>
      </c>
      <c r="P40" s="31"/>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c r="BU40" s="27"/>
      <c r="BV40" s="27"/>
      <c r="BW40" s="27"/>
      <c r="BX40" s="27"/>
      <c r="BY40" s="27"/>
      <c r="BZ40" s="27"/>
      <c r="CA40" s="27"/>
      <c r="CB40" s="27"/>
      <c r="CC40" s="27"/>
      <c r="CD40" s="27"/>
      <c r="CE40" s="27"/>
      <c r="CF40" s="27"/>
      <c r="CG40" s="27"/>
      <c r="CH40" s="27"/>
      <c r="CI40" s="27"/>
      <c r="CJ40" s="27"/>
      <c r="CK40" s="27"/>
      <c r="CL40" s="27"/>
      <c r="CM40" s="27"/>
      <c r="CN40" s="27"/>
      <c r="CO40" s="27"/>
      <c r="CP40" s="27"/>
      <c r="CQ40" s="27"/>
      <c r="CR40" s="27"/>
      <c r="CS40" s="27"/>
      <c r="CT40" s="27"/>
      <c r="CU40" s="27"/>
      <c r="CV40" s="27"/>
      <c r="CW40" s="27"/>
      <c r="CX40" s="27"/>
      <c r="CY40" s="27"/>
      <c r="CZ40" s="27"/>
      <c r="DA40" s="27"/>
      <c r="DB40" s="27"/>
      <c r="DC40" s="27"/>
      <c r="DD40" s="27"/>
      <c r="DE40" s="27"/>
      <c r="DF40" s="27"/>
      <c r="DG40" s="27"/>
      <c r="DH40" s="27"/>
      <c r="DI40" s="27"/>
      <c r="DJ40" s="27"/>
      <c r="DK40" s="27"/>
      <c r="DL40" s="27"/>
      <c r="DM40" s="27"/>
      <c r="DN40" s="27"/>
      <c r="DO40" s="27"/>
      <c r="DP40" s="27"/>
      <c r="DQ40" s="27"/>
      <c r="DR40" s="27"/>
      <c r="DS40" s="27"/>
    </row>
    <row r="41" spans="1:123" ht="22.5" x14ac:dyDescent="0.2">
      <c r="A41" s="99" t="str">
        <f>PLANILHA!A22</f>
        <v>2.1</v>
      </c>
      <c r="B41" s="76" t="str">
        <f>VLOOKUP(A41,PLANILHA!A:N,2,FALSE)</f>
        <v>ESCAVAÇÃO MANUAL PARA BLOCO DE COROAMENTO OU SAPATA (INCLUINDO ESCAVAÇÃO PARA COLOCAÇÃO DE FÔRMAS). AF_01/2024</v>
      </c>
      <c r="C41" s="46" t="str">
        <f>VLOOKUP(A41,PLANILHA!A:N,3,FALSE)</f>
        <v>m³</v>
      </c>
      <c r="D41" s="47"/>
      <c r="E41" s="47"/>
      <c r="F41" s="47"/>
      <c r="G41" s="47"/>
      <c r="H41" s="47"/>
      <c r="I41" s="47"/>
      <c r="J41" s="47"/>
      <c r="K41" s="47"/>
      <c r="L41" s="33">
        <f>SUM(K42:K43)</f>
        <v>0</v>
      </c>
      <c r="M41" s="44">
        <f>VLOOKUP(A41,PLANILHA!A:N,4,FALSE)</f>
        <v>23.96</v>
      </c>
      <c r="N41" s="45">
        <f>VLOOKUP(A41,PLANILHA!A:N,7,FALSE)</f>
        <v>0.2</v>
      </c>
      <c r="O41" s="63" t="s">
        <v>114</v>
      </c>
      <c r="P41" s="31" t="s">
        <v>116</v>
      </c>
    </row>
    <row r="42" spans="1:123" s="31" customFormat="1" x14ac:dyDescent="0.2">
      <c r="A42" s="98"/>
      <c r="B42" s="73"/>
      <c r="C42" s="42"/>
      <c r="D42" s="84"/>
      <c r="E42" s="84"/>
      <c r="F42" s="84"/>
      <c r="G42" s="84"/>
      <c r="H42" s="84"/>
      <c r="I42" s="84"/>
      <c r="J42" s="84"/>
      <c r="K42" s="84"/>
      <c r="L42" s="85"/>
      <c r="M42" s="43"/>
      <c r="N42" s="54"/>
      <c r="O42" s="63" t="s">
        <v>114</v>
      </c>
    </row>
    <row r="43" spans="1:123" x14ac:dyDescent="0.2">
      <c r="A43" s="98"/>
      <c r="B43" s="73"/>
      <c r="C43" s="42"/>
      <c r="D43" s="84"/>
      <c r="E43" s="84"/>
      <c r="F43" s="84"/>
      <c r="G43" s="84"/>
      <c r="H43" s="84"/>
      <c r="I43" s="84"/>
      <c r="J43" s="84"/>
      <c r="K43" s="84"/>
      <c r="L43" s="84"/>
      <c r="M43" s="84"/>
      <c r="N43" s="54"/>
      <c r="O43" s="63"/>
    </row>
    <row r="44" spans="1:123" ht="22.5" x14ac:dyDescent="0.2">
      <c r="A44" s="95" t="str">
        <f>PLANILHA!A23</f>
        <v>2.2</v>
      </c>
      <c r="B44" s="75" t="str">
        <f>VLOOKUP(A44,PLANILHA!A:N,2,FALSE)</f>
        <v>ATERRO MANUAL COM AREIA PARA ATERRO E APILOADO COM SOQUETE EM CAMADAS DE 20 CM. R_11/2019</v>
      </c>
      <c r="C44" s="32" t="str">
        <f>VLOOKUP(A44,PLANILHA!A:N,3,FALSE)</f>
        <v>m³</v>
      </c>
      <c r="D44" s="33"/>
      <c r="E44" s="33"/>
      <c r="F44" s="33"/>
      <c r="G44" s="33"/>
      <c r="H44" s="33"/>
      <c r="I44" s="33"/>
      <c r="J44" s="33"/>
      <c r="K44" s="33"/>
      <c r="L44" s="33">
        <f>SUM(K45:K47)</f>
        <v>0.2</v>
      </c>
      <c r="M44" s="34">
        <f>VLOOKUP(A44,PLANILHA!A:N,4,FALSE)</f>
        <v>0.9</v>
      </c>
      <c r="N44" s="48">
        <f>VLOOKUP(A44,PLANILHA!A:N,7,FALSE)</f>
        <v>0</v>
      </c>
      <c r="O44" s="63" t="s">
        <v>114</v>
      </c>
    </row>
    <row r="45" spans="1:123" x14ac:dyDescent="0.2">
      <c r="A45" s="104"/>
      <c r="B45" s="73"/>
      <c r="C45" s="42"/>
      <c r="D45" s="84"/>
      <c r="E45" s="84"/>
      <c r="F45" s="84"/>
      <c r="G45" s="84"/>
      <c r="H45" s="84"/>
      <c r="I45" s="84"/>
      <c r="J45" s="84"/>
      <c r="K45" s="84"/>
      <c r="L45" s="85"/>
      <c r="M45" s="43"/>
      <c r="N45" s="54"/>
      <c r="O45" s="63" t="s">
        <v>114</v>
      </c>
    </row>
    <row r="46" spans="1:123" s="31" customFormat="1" ht="11.25" customHeight="1" x14ac:dyDescent="0.2">
      <c r="A46" s="302" t="s">
        <v>225</v>
      </c>
      <c r="B46" s="73" t="s">
        <v>226</v>
      </c>
      <c r="C46" s="42"/>
      <c r="D46" s="84">
        <v>0.25</v>
      </c>
      <c r="E46" s="285">
        <v>0.25</v>
      </c>
      <c r="F46" s="84">
        <v>1.1000000000000001</v>
      </c>
      <c r="G46" s="85"/>
      <c r="H46" s="84">
        <v>3</v>
      </c>
      <c r="I46" s="84"/>
      <c r="J46" s="84"/>
      <c r="K46" s="84">
        <f>TRUNC(D46*E46*F46*H46,2)</f>
        <v>0.2</v>
      </c>
      <c r="L46" s="303"/>
      <c r="M46" s="43"/>
      <c r="N46" s="54"/>
    </row>
    <row r="47" spans="1:123" x14ac:dyDescent="0.2">
      <c r="A47" s="98"/>
      <c r="B47" s="73"/>
      <c r="C47" s="42"/>
      <c r="D47" s="84"/>
      <c r="E47" s="84"/>
      <c r="F47" s="84"/>
      <c r="G47" s="84"/>
      <c r="H47" s="84"/>
      <c r="I47" s="84"/>
      <c r="J47" s="84"/>
      <c r="K47" s="84"/>
      <c r="L47" s="84"/>
      <c r="M47" s="84"/>
      <c r="N47" s="54"/>
      <c r="O47" s="63"/>
    </row>
    <row r="48" spans="1:123" s="31" customFormat="1" x14ac:dyDescent="0.2">
      <c r="A48" s="95" t="str">
        <f>PLANILHA!A24</f>
        <v>2.3</v>
      </c>
      <c r="B48" s="75" t="str">
        <f>VLOOKUP(A48,PLANILHA!A:N,2,FALSE)</f>
        <v>REATERRO MANUAL DE VALAS, COM PLACA VIBRATÓRIA. AF_08/2023</v>
      </c>
      <c r="C48" s="32" t="str">
        <f>VLOOKUP(A48,PLANILHA!A:N,3,FALSE)</f>
        <v>m³</v>
      </c>
      <c r="D48" s="33"/>
      <c r="E48" s="33"/>
      <c r="F48" s="33"/>
      <c r="G48" s="33"/>
      <c r="H48" s="33"/>
      <c r="I48" s="33"/>
      <c r="J48" s="33"/>
      <c r="K48" s="33"/>
      <c r="L48" s="33">
        <f>SUM(K49:K50)</f>
        <v>0</v>
      </c>
      <c r="M48" s="34">
        <f>VLOOKUP(A48,PLANILHA!A:N,4,FALSE)</f>
        <v>16.09</v>
      </c>
      <c r="N48" s="48">
        <f>VLOOKUP(A48,PLANILHA!A:N,7,FALSE)</f>
        <v>5.64</v>
      </c>
      <c r="O48" s="63" t="s">
        <v>114</v>
      </c>
      <c r="P48" s="31" t="s">
        <v>116</v>
      </c>
    </row>
    <row r="49" spans="1:123" s="31" customFormat="1" x14ac:dyDescent="0.2">
      <c r="A49" s="98"/>
      <c r="B49" s="73"/>
      <c r="C49" s="42"/>
      <c r="D49" s="84"/>
      <c r="E49" s="84"/>
      <c r="F49" s="84"/>
      <c r="G49" s="84"/>
      <c r="H49" s="84"/>
      <c r="I49" s="84"/>
      <c r="J49" s="84"/>
      <c r="K49" s="84"/>
      <c r="L49" s="85"/>
      <c r="M49" s="43"/>
      <c r="N49" s="54"/>
      <c r="O49" s="63" t="s">
        <v>114</v>
      </c>
    </row>
    <row r="50" spans="1:123" s="31" customFormat="1" x14ac:dyDescent="0.2">
      <c r="A50" s="98"/>
      <c r="B50" s="73"/>
      <c r="C50" s="42"/>
      <c r="D50" s="84"/>
      <c r="E50" s="84"/>
      <c r="F50" s="84"/>
      <c r="G50" s="84"/>
      <c r="H50" s="84"/>
      <c r="I50" s="84"/>
      <c r="J50" s="84"/>
      <c r="K50" s="84"/>
      <c r="L50" s="84"/>
      <c r="M50" s="84"/>
      <c r="N50" s="54"/>
      <c r="O50" s="63" t="s">
        <v>114</v>
      </c>
    </row>
    <row r="51" spans="1:123" s="35" customFormat="1" x14ac:dyDescent="0.2">
      <c r="A51" s="93">
        <f>PLANILHA!A25</f>
        <v>3</v>
      </c>
      <c r="B51" s="71" t="str">
        <f>PLANILHA!B25</f>
        <v>FUNDAÇÃO</v>
      </c>
      <c r="C51" s="49"/>
      <c r="D51" s="50"/>
      <c r="E51" s="50"/>
      <c r="F51" s="50"/>
      <c r="G51" s="50"/>
      <c r="H51" s="50"/>
      <c r="I51" s="50"/>
      <c r="J51" s="50"/>
      <c r="K51" s="50"/>
      <c r="L51" s="50"/>
      <c r="M51" s="51"/>
      <c r="N51" s="52"/>
      <c r="O51" s="62"/>
      <c r="P51" s="31"/>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7"/>
      <c r="BR51" s="27"/>
      <c r="BS51" s="27"/>
      <c r="BT51" s="27"/>
      <c r="BU51" s="27"/>
      <c r="BV51" s="27"/>
      <c r="BW51" s="27"/>
      <c r="BX51" s="27"/>
      <c r="BY51" s="27"/>
      <c r="BZ51" s="27"/>
      <c r="CA51" s="27"/>
      <c r="CB51" s="27"/>
      <c r="CC51" s="27"/>
      <c r="CD51" s="27"/>
      <c r="CE51" s="27"/>
      <c r="CF51" s="27"/>
      <c r="CG51" s="27"/>
      <c r="CH51" s="27"/>
      <c r="CI51" s="27"/>
      <c r="CJ51" s="27"/>
      <c r="CK51" s="27"/>
      <c r="CL51" s="27"/>
      <c r="CM51" s="27"/>
      <c r="CN51" s="27"/>
      <c r="CO51" s="27"/>
      <c r="CP51" s="27"/>
      <c r="CQ51" s="27"/>
      <c r="CR51" s="27"/>
      <c r="CS51" s="27"/>
      <c r="CT51" s="27"/>
      <c r="CU51" s="27"/>
      <c r="CV51" s="27"/>
      <c r="CW51" s="27"/>
      <c r="CX51" s="27"/>
      <c r="CY51" s="27"/>
      <c r="CZ51" s="27"/>
      <c r="DA51" s="27"/>
      <c r="DB51" s="27"/>
      <c r="DC51" s="27"/>
      <c r="DD51" s="27"/>
      <c r="DE51" s="27"/>
      <c r="DF51" s="27"/>
      <c r="DG51" s="27"/>
      <c r="DH51" s="27"/>
      <c r="DI51" s="27"/>
      <c r="DJ51" s="27"/>
      <c r="DK51" s="27"/>
      <c r="DL51" s="27"/>
      <c r="DM51" s="27"/>
      <c r="DN51" s="27"/>
      <c r="DO51" s="27"/>
      <c r="DP51" s="27"/>
      <c r="DQ51" s="27"/>
      <c r="DR51" s="27"/>
      <c r="DS51" s="27"/>
    </row>
    <row r="52" spans="1:123" ht="22.5" x14ac:dyDescent="0.2">
      <c r="A52" s="99" t="str">
        <f>PLANILHA!A26</f>
        <v>3.1</v>
      </c>
      <c r="B52" s="76" t="str">
        <f>VLOOKUP(A52,PLANILHA!A:N,2,FALSE)</f>
        <v>LASTRO DE CONCRETO MAGRO, APLICADO EM BLOCOS DE COROAMENTO OU SAPATAS, ESPESSURA DE 5 CM. AF_01/2024</v>
      </c>
      <c r="C52" s="46" t="str">
        <f>VLOOKUP(A52,PLANILHA!A:N,3,FALSE)</f>
        <v>m²</v>
      </c>
      <c r="D52" s="47"/>
      <c r="E52" s="47"/>
      <c r="F52" s="47"/>
      <c r="G52" s="47"/>
      <c r="H52" s="47"/>
      <c r="I52" s="47"/>
      <c r="J52" s="47"/>
      <c r="K52" s="47"/>
      <c r="L52" s="33">
        <f>SUM(K53:K54)</f>
        <v>0</v>
      </c>
      <c r="M52" s="44">
        <f>VLOOKUP(A52,PLANILHA!A:N,4,FALSE)</f>
        <v>14</v>
      </c>
      <c r="N52" s="45">
        <f>VLOOKUP(A52,PLANILHA!A:N,7,FALSE)</f>
        <v>0</v>
      </c>
      <c r="O52" s="63"/>
    </row>
    <row r="53" spans="1:123" s="31" customFormat="1" x14ac:dyDescent="0.2">
      <c r="A53" s="100"/>
      <c r="B53" s="73"/>
      <c r="C53" s="42"/>
      <c r="D53" s="84"/>
      <c r="E53" s="84"/>
      <c r="F53" s="84"/>
      <c r="G53" s="84"/>
      <c r="H53" s="84"/>
      <c r="I53" s="84"/>
      <c r="J53" s="84"/>
      <c r="K53" s="84"/>
      <c r="L53" s="85"/>
      <c r="M53" s="43"/>
      <c r="N53" s="54"/>
      <c r="O53" s="63"/>
    </row>
    <row r="54" spans="1:123" s="31" customFormat="1" x14ac:dyDescent="0.2">
      <c r="A54" s="98"/>
      <c r="B54" s="73"/>
      <c r="C54" s="42"/>
      <c r="D54" s="84"/>
      <c r="E54" s="84"/>
      <c r="F54" s="84"/>
      <c r="G54" s="84"/>
      <c r="H54" s="84"/>
      <c r="I54" s="84"/>
      <c r="J54" s="84"/>
      <c r="K54" s="84"/>
      <c r="L54" s="84"/>
      <c r="M54" s="84"/>
      <c r="N54" s="54"/>
      <c r="O54" s="63"/>
    </row>
    <row r="55" spans="1:123" ht="33.75" x14ac:dyDescent="0.2">
      <c r="A55" s="95" t="str">
        <f>PLANILHA!A27</f>
        <v>3.2</v>
      </c>
      <c r="B55" s="75" t="str">
        <f>VLOOKUP(A55,PLANILHA!A:N,2,FALSE)</f>
        <v>FABRICAÇÃO, MONTAGEM E DESMONTAGEM DE FÔRMA PARA BLOCO DE COROAMENTO, EM CHAPA DE MADEIRA COMPENSADA RESINADA, E=17 MM, 4 UTILIZAÇÕES. AF_01/2024</v>
      </c>
      <c r="C55" s="32" t="str">
        <f>VLOOKUP(A55,PLANILHA!A:N,3,FALSE)</f>
        <v>m²</v>
      </c>
      <c r="D55" s="33"/>
      <c r="E55" s="33"/>
      <c r="F55" s="33"/>
      <c r="G55" s="33"/>
      <c r="H55" s="33"/>
      <c r="I55" s="33"/>
      <c r="J55" s="33"/>
      <c r="K55" s="33"/>
      <c r="L55" s="33">
        <f>SUM(K56:K58)</f>
        <v>2.08</v>
      </c>
      <c r="M55" s="34">
        <f>VLOOKUP(A55,PLANILHA!A:N,4,FALSE)</f>
        <v>35.840000000000003</v>
      </c>
      <c r="N55" s="48">
        <f>VLOOKUP(A55,PLANILHA!A:N,7,FALSE)</f>
        <v>1.76</v>
      </c>
      <c r="O55" s="63"/>
    </row>
    <row r="56" spans="1:123" s="31" customFormat="1" x14ac:dyDescent="0.2">
      <c r="A56" s="98"/>
      <c r="B56" s="73"/>
      <c r="C56" s="42"/>
      <c r="D56" s="84"/>
      <c r="E56" s="84"/>
      <c r="F56" s="84"/>
      <c r="G56" s="84"/>
      <c r="H56" s="84"/>
      <c r="I56" s="84"/>
      <c r="J56" s="84"/>
      <c r="K56" s="84"/>
      <c r="L56" s="85"/>
      <c r="M56" s="43"/>
      <c r="N56" s="54"/>
      <c r="O56" s="63"/>
    </row>
    <row r="57" spans="1:123" s="31" customFormat="1" ht="11.25" customHeight="1" x14ac:dyDescent="0.2">
      <c r="A57" s="302" t="s">
        <v>225</v>
      </c>
      <c r="B57" s="74" t="s">
        <v>217</v>
      </c>
      <c r="C57" s="42"/>
      <c r="D57" s="84">
        <v>1.02</v>
      </c>
      <c r="F57" s="84">
        <v>1.02</v>
      </c>
      <c r="G57" s="85"/>
      <c r="H57" s="84">
        <v>2</v>
      </c>
      <c r="I57" s="84">
        <v>1</v>
      </c>
      <c r="J57" s="84"/>
      <c r="K57" s="84">
        <f>D57*F57*H57*I57</f>
        <v>2.08</v>
      </c>
      <c r="L57" s="303"/>
      <c r="M57" s="43"/>
      <c r="N57" s="54"/>
    </row>
    <row r="58" spans="1:123" s="31" customFormat="1" x14ac:dyDescent="0.2">
      <c r="A58" s="101"/>
      <c r="B58" s="73"/>
      <c r="C58" s="42"/>
      <c r="D58" s="84"/>
      <c r="E58" s="84"/>
      <c r="F58" s="84"/>
      <c r="G58" s="84"/>
      <c r="H58" s="84"/>
      <c r="I58" s="84"/>
      <c r="J58" s="84"/>
      <c r="K58" s="84"/>
      <c r="L58" s="84"/>
      <c r="M58" s="84"/>
      <c r="N58" s="54"/>
      <c r="O58" s="63"/>
    </row>
    <row r="59" spans="1:123" ht="22.5" x14ac:dyDescent="0.2">
      <c r="A59" s="95" t="str">
        <f>PLANILHA!A28</f>
        <v>3.3</v>
      </c>
      <c r="B59" s="75" t="str">
        <f>VLOOKUP(A59,PLANILHA!A:N,2,FALSE)</f>
        <v>CONCRETO CICLÓPICO FCK = 25MPA, 30% PEDRA DE MÃO EM VOLUME REAL, INCLUSIVE LANÇAMENTO. R_11/2021</v>
      </c>
      <c r="C59" s="32" t="str">
        <f>VLOOKUP(A59,PLANILHA!A:N,3,FALSE)</f>
        <v>m³</v>
      </c>
      <c r="D59" s="33"/>
      <c r="E59" s="33"/>
      <c r="F59" s="33"/>
      <c r="G59" s="33"/>
      <c r="H59" s="33"/>
      <c r="I59" s="33"/>
      <c r="J59" s="33"/>
      <c r="K59" s="33"/>
      <c r="L59" s="33">
        <f>SUM(K60:K61)</f>
        <v>0</v>
      </c>
      <c r="M59" s="34">
        <f>VLOOKUP(A59,PLANILHA!A:N,4,FALSE)</f>
        <v>7.17</v>
      </c>
      <c r="N59" s="48">
        <f>VLOOKUP(A59,PLANILHA!A:N,7,FALSE)</f>
        <v>0.17</v>
      </c>
      <c r="O59" s="63"/>
    </row>
    <row r="60" spans="1:123" s="31" customFormat="1" x14ac:dyDescent="0.2">
      <c r="A60" s="100"/>
      <c r="B60" s="73"/>
      <c r="C60" s="42"/>
      <c r="D60" s="84"/>
      <c r="E60" s="84"/>
      <c r="F60" s="84"/>
      <c r="G60" s="84"/>
      <c r="H60" s="84"/>
      <c r="I60" s="84"/>
      <c r="J60" s="84"/>
      <c r="K60" s="84"/>
      <c r="L60" s="85"/>
      <c r="M60" s="43"/>
      <c r="N60" s="54"/>
      <c r="O60" s="63"/>
    </row>
    <row r="61" spans="1:123" s="31" customFormat="1" x14ac:dyDescent="0.2">
      <c r="A61" s="101"/>
      <c r="B61" s="73"/>
      <c r="C61" s="42"/>
      <c r="D61" s="84"/>
      <c r="E61" s="84"/>
      <c r="F61" s="84"/>
      <c r="G61" s="84"/>
      <c r="H61" s="84"/>
      <c r="I61" s="84"/>
      <c r="J61" s="84"/>
      <c r="K61" s="84"/>
      <c r="L61" s="84"/>
      <c r="M61" s="84"/>
      <c r="N61" s="54"/>
      <c r="O61" s="63"/>
    </row>
    <row r="62" spans="1:123" s="35" customFormat="1" x14ac:dyDescent="0.2">
      <c r="A62" s="93">
        <f>PLANILHA!A29</f>
        <v>4</v>
      </c>
      <c r="B62" s="71" t="str">
        <f>PLANILHA!B29</f>
        <v>ESTRUTURA</v>
      </c>
      <c r="C62" s="49"/>
      <c r="D62" s="50"/>
      <c r="E62" s="50"/>
      <c r="F62" s="50"/>
      <c r="G62" s="50"/>
      <c r="H62" s="50"/>
      <c r="I62" s="50"/>
      <c r="J62" s="50"/>
      <c r="K62" s="50"/>
      <c r="L62" s="50"/>
      <c r="M62" s="51"/>
      <c r="N62" s="52"/>
      <c r="O62" s="62"/>
      <c r="P62" s="31"/>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c r="BU62" s="27"/>
      <c r="BV62" s="27"/>
      <c r="BW62" s="27"/>
      <c r="BX62" s="27"/>
      <c r="BY62" s="27"/>
      <c r="BZ62" s="27"/>
      <c r="CA62" s="27"/>
      <c r="CB62" s="27"/>
      <c r="CC62" s="27"/>
      <c r="CD62" s="27"/>
      <c r="CE62" s="27"/>
      <c r="CF62" s="27"/>
      <c r="CG62" s="27"/>
      <c r="CH62" s="27"/>
      <c r="CI62" s="27"/>
      <c r="CJ62" s="27"/>
      <c r="CK62" s="27"/>
      <c r="CL62" s="27"/>
      <c r="CM62" s="27"/>
      <c r="CN62" s="27"/>
      <c r="CO62" s="27"/>
      <c r="CP62" s="27"/>
      <c r="CQ62" s="27"/>
      <c r="CR62" s="27"/>
      <c r="CS62" s="27"/>
      <c r="CT62" s="27"/>
      <c r="CU62" s="27"/>
      <c r="CV62" s="27"/>
      <c r="CW62" s="27"/>
      <c r="CX62" s="27"/>
      <c r="CY62" s="27"/>
      <c r="CZ62" s="27"/>
      <c r="DA62" s="27"/>
      <c r="DB62" s="27"/>
      <c r="DC62" s="27"/>
      <c r="DD62" s="27"/>
      <c r="DE62" s="27"/>
      <c r="DF62" s="27"/>
      <c r="DG62" s="27"/>
      <c r="DH62" s="27"/>
      <c r="DI62" s="27"/>
      <c r="DJ62" s="27"/>
      <c r="DK62" s="27"/>
      <c r="DL62" s="27"/>
      <c r="DM62" s="27"/>
      <c r="DN62" s="27"/>
      <c r="DO62" s="27"/>
      <c r="DP62" s="27"/>
      <c r="DQ62" s="27"/>
      <c r="DR62" s="27"/>
      <c r="DS62" s="27"/>
    </row>
    <row r="63" spans="1:123" s="286" customFormat="1" ht="33.75" x14ac:dyDescent="0.2">
      <c r="A63" s="101" t="str">
        <f>PLANILHA!A30</f>
        <v xml:space="preserve"> 4.1 </v>
      </c>
      <c r="B63" s="77" t="str">
        <f>VLOOKUP(A63,PLANILHA!A:N,2,FALSE)</f>
        <v>ESTRUTURA METÁLICA P/ COBERTURA C/VIGAS-TRELIÇA PRATT E TERÇAS EM UDC 127, 2 ÁGUAS, SEM LANTERNIN, VÃOS 10,01 A 20,0M, PINTADA 1 D OXIDO FERRO + 2 D ESMALTE EPÓXI BRANCO, EXCETO FORN. TELHAS - EXECUTADA</v>
      </c>
      <c r="C63" s="39" t="str">
        <f>VLOOKUP(A63,PLANILHA!A:N,3,FALSE)</f>
        <v>m²</v>
      </c>
      <c r="D63" s="40"/>
      <c r="E63" s="40"/>
      <c r="F63" s="40"/>
      <c r="G63" s="40"/>
      <c r="H63" s="40"/>
      <c r="I63" s="40"/>
      <c r="J63" s="40"/>
      <c r="K63" s="40"/>
      <c r="L63" s="282">
        <f>SUM(K64:K66)</f>
        <v>504.14</v>
      </c>
      <c r="M63" s="41">
        <f>VLOOKUP(A63,PLANILHA!A:N,4,FALSE)</f>
        <v>657</v>
      </c>
      <c r="N63" s="283">
        <f>VLOOKUP(A63,PLANILHA!A:N,7,FALSE)</f>
        <v>152.86000000000001</v>
      </c>
      <c r="O63" s="284"/>
      <c r="P63" s="285"/>
    </row>
    <row r="64" spans="1:123" s="285" customFormat="1" x14ac:dyDescent="0.2">
      <c r="A64" s="100"/>
      <c r="B64" s="73"/>
      <c r="C64" s="42"/>
      <c r="D64" s="84"/>
      <c r="E64" s="84"/>
      <c r="F64" s="84"/>
      <c r="G64" s="84"/>
      <c r="H64" s="84"/>
      <c r="I64" s="84"/>
      <c r="J64" s="84"/>
      <c r="K64" s="84"/>
      <c r="L64" s="85"/>
      <c r="M64" s="43"/>
      <c r="N64" s="287"/>
      <c r="O64" s="284"/>
    </row>
    <row r="65" spans="1:123" s="31" customFormat="1" x14ac:dyDescent="0.2">
      <c r="A65" s="302" t="s">
        <v>225</v>
      </c>
      <c r="B65" s="74" t="s">
        <v>227</v>
      </c>
      <c r="C65" s="42"/>
      <c r="D65" s="84">
        <v>20.91</v>
      </c>
      <c r="E65" s="31">
        <v>24.11</v>
      </c>
      <c r="F65" s="84"/>
      <c r="G65" s="304"/>
      <c r="H65" s="84"/>
      <c r="I65" s="84"/>
      <c r="J65" s="84"/>
      <c r="K65" s="84">
        <f>D65*E65</f>
        <v>504.14</v>
      </c>
      <c r="L65" s="43">
        <v>505.89</v>
      </c>
      <c r="M65" s="43"/>
      <c r="N65" s="86"/>
      <c r="O65" s="179"/>
    </row>
    <row r="66" spans="1:123" s="288" customFormat="1" x14ac:dyDescent="0.2">
      <c r="A66" s="98"/>
      <c r="B66" s="73"/>
      <c r="C66" s="42"/>
      <c r="D66" s="84"/>
      <c r="E66" s="84"/>
      <c r="F66" s="84"/>
      <c r="G66" s="84"/>
      <c r="H66" s="84"/>
      <c r="I66" s="84"/>
      <c r="J66" s="84"/>
      <c r="K66" s="84"/>
      <c r="L66" s="84"/>
      <c r="M66" s="84"/>
      <c r="N66" s="287"/>
    </row>
    <row r="67" spans="1:123" ht="45" x14ac:dyDescent="0.2">
      <c r="A67" s="102" t="str">
        <f>PLANILHA!A31</f>
        <v xml:space="preserve">4.2 </v>
      </c>
      <c r="B67" s="75" t="str">
        <f>VLOOKUP(A67,PLANILHA!A:N,2,FALSE)</f>
        <v>COLUNA METÁLICA, EM PERFIS UDC127X50X5,13, DIAGONAIS DUPLAS, DIVERSOS USOS OU COMPOSIÇÃO DE PÓRTICOS VÃOS 10,01M A 20,0M,, LARGURA 0,60M, PDMAX. 7,00 , PINTURA 01 DEMÃO EPOXI FUNDO ÓXIDO FERRO + 02 DEMÃOS ESMALTE EPOXI BRANCO</v>
      </c>
      <c r="C67" s="32" t="str">
        <f>VLOOKUP(A67,PLANILHA!A:N,3,FALSE)</f>
        <v>M</v>
      </c>
      <c r="D67" s="33"/>
      <c r="E67" s="33"/>
      <c r="F67" s="33"/>
      <c r="G67" s="33"/>
      <c r="H67" s="33"/>
      <c r="I67" s="33"/>
      <c r="J67" s="33"/>
      <c r="K67" s="33"/>
      <c r="L67" s="33">
        <f>SUM(K68:K70)</f>
        <v>4</v>
      </c>
      <c r="M67" s="34">
        <f>VLOOKUP(A67,PLANILHA!A:N,4,FALSE)</f>
        <v>70</v>
      </c>
      <c r="N67" s="48">
        <f>VLOOKUP(A67,PLANILHA!A:N,7,FALSE)</f>
        <v>0</v>
      </c>
      <c r="O67" s="63"/>
    </row>
    <row r="68" spans="1:123" s="31" customFormat="1" x14ac:dyDescent="0.2">
      <c r="A68" s="100"/>
      <c r="B68" s="73"/>
      <c r="C68" s="42"/>
      <c r="D68" s="84"/>
      <c r="E68" s="84"/>
      <c r="F68" s="84"/>
      <c r="G68" s="84"/>
      <c r="H68" s="84"/>
      <c r="I68" s="84"/>
      <c r="J68" s="84"/>
      <c r="K68" s="84"/>
      <c r="L68" s="85"/>
      <c r="M68" s="43"/>
      <c r="N68" s="54"/>
      <c r="O68" s="63"/>
    </row>
    <row r="69" spans="1:123" s="31" customFormat="1" x14ac:dyDescent="0.2">
      <c r="A69" s="302" t="s">
        <v>225</v>
      </c>
      <c r="B69" s="74" t="s">
        <v>232</v>
      </c>
      <c r="C69" s="42"/>
      <c r="D69" s="84">
        <v>4</v>
      </c>
      <c r="F69" s="84"/>
      <c r="G69" s="85"/>
      <c r="H69" s="84"/>
      <c r="I69" s="84">
        <v>1</v>
      </c>
      <c r="J69" s="84"/>
      <c r="K69" s="84">
        <f>D69*I69</f>
        <v>4</v>
      </c>
      <c r="L69" s="85"/>
      <c r="M69" s="43"/>
      <c r="N69" s="54"/>
      <c r="O69" s="63"/>
    </row>
    <row r="70" spans="1:123" s="31" customFormat="1" x14ac:dyDescent="0.2">
      <c r="A70" s="101"/>
      <c r="B70" s="73"/>
      <c r="C70" s="42"/>
      <c r="D70" s="84"/>
      <c r="E70" s="84"/>
      <c r="F70" s="84"/>
      <c r="G70" s="84"/>
      <c r="H70" s="84"/>
      <c r="I70" s="84"/>
      <c r="J70" s="84"/>
      <c r="K70" s="84"/>
      <c r="L70" s="84"/>
      <c r="M70" s="84"/>
      <c r="N70" s="54"/>
      <c r="O70" s="63"/>
    </row>
    <row r="71" spans="1:123" s="35" customFormat="1" x14ac:dyDescent="0.2">
      <c r="A71" s="93">
        <f>PLANILHA!A32</f>
        <v>5</v>
      </c>
      <c r="B71" s="71" t="str">
        <f>PLANILHA!B32</f>
        <v>PAREDES E PAINÉIS</v>
      </c>
      <c r="C71" s="49"/>
      <c r="D71" s="50"/>
      <c r="E71" s="50"/>
      <c r="F71" s="50"/>
      <c r="G71" s="50"/>
      <c r="H71" s="50"/>
      <c r="I71" s="50"/>
      <c r="J71" s="50"/>
      <c r="K71" s="50"/>
      <c r="L71" s="50"/>
      <c r="M71" s="51"/>
      <c r="N71" s="52"/>
      <c r="O71" s="62"/>
      <c r="P71" s="31"/>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7"/>
      <c r="BR71" s="27"/>
      <c r="BS71" s="27"/>
      <c r="BT71" s="27"/>
      <c r="BU71" s="27"/>
      <c r="BV71" s="27"/>
      <c r="BW71" s="27"/>
      <c r="BX71" s="27"/>
      <c r="BY71" s="27"/>
      <c r="BZ71" s="27"/>
      <c r="CA71" s="27"/>
      <c r="CB71" s="27"/>
      <c r="CC71" s="27"/>
      <c r="CD71" s="27"/>
      <c r="CE71" s="27"/>
      <c r="CF71" s="27"/>
      <c r="CG71" s="27"/>
      <c r="CH71" s="27"/>
      <c r="CI71" s="27"/>
      <c r="CJ71" s="27"/>
      <c r="CK71" s="27"/>
      <c r="CL71" s="27"/>
      <c r="CM71" s="27"/>
      <c r="CN71" s="27"/>
      <c r="CO71" s="27"/>
      <c r="CP71" s="27"/>
      <c r="CQ71" s="27"/>
      <c r="CR71" s="27"/>
      <c r="CS71" s="27"/>
      <c r="CT71" s="27"/>
      <c r="CU71" s="27"/>
      <c r="CV71" s="27"/>
      <c r="CW71" s="27"/>
      <c r="CX71" s="27"/>
      <c r="CY71" s="27"/>
      <c r="CZ71" s="27"/>
      <c r="DA71" s="27"/>
      <c r="DB71" s="27"/>
      <c r="DC71" s="27"/>
      <c r="DD71" s="27"/>
      <c r="DE71" s="27"/>
      <c r="DF71" s="27"/>
      <c r="DG71" s="27"/>
      <c r="DH71" s="27"/>
      <c r="DI71" s="27"/>
      <c r="DJ71" s="27"/>
      <c r="DK71" s="27"/>
      <c r="DL71" s="27"/>
      <c r="DM71" s="27"/>
      <c r="DN71" s="27"/>
      <c r="DO71" s="27"/>
      <c r="DP71" s="27"/>
      <c r="DQ71" s="27"/>
      <c r="DR71" s="27"/>
      <c r="DS71" s="27"/>
    </row>
    <row r="72" spans="1:123" ht="45" x14ac:dyDescent="0.2">
      <c r="A72" s="102" t="str">
        <f>PLANILHA!A33</f>
        <v xml:space="preserve">5.1 </v>
      </c>
      <c r="B72" s="75" t="str">
        <f>VLOOKUP(A72,PLANILHA!A:N,2,FALSE)</f>
        <v>ALVENARIA EM TIJOLO CERÂMICO FURADO 9X19X19CM, 1 VEZ (ESPESSURA 19 CM), ASSENTADO EM ARGAMASSA TRAÇO 1:4 (CIMENTO E AREIA MÉDIA), PREPARO MANUAL,
JUNTA 1 CM. INC_11/2016</v>
      </c>
      <c r="C72" s="32" t="str">
        <f>VLOOKUP(A72,PLANILHA!A:N,3,FALSE)</f>
        <v>m²</v>
      </c>
      <c r="D72" s="33"/>
      <c r="E72" s="33"/>
      <c r="F72" s="33"/>
      <c r="G72" s="33"/>
      <c r="H72" s="33"/>
      <c r="I72" s="33"/>
      <c r="J72" s="33"/>
      <c r="K72" s="47"/>
      <c r="L72" s="33">
        <f>SUM(K73:K76)</f>
        <v>2.44</v>
      </c>
      <c r="M72" s="34">
        <f>VLOOKUP(A72,PLANILHA!A:N,4,FALSE)</f>
        <v>33.25</v>
      </c>
      <c r="N72" s="48">
        <f>VLOOKUP(A72,PLANILHA!A:N,7,FALSE)</f>
        <v>0.09</v>
      </c>
      <c r="O72" s="63"/>
    </row>
    <row r="73" spans="1:123" s="31" customFormat="1" x14ac:dyDescent="0.2">
      <c r="A73" s="100"/>
      <c r="B73" s="73"/>
      <c r="C73" s="42"/>
      <c r="D73" s="84"/>
      <c r="E73" s="84"/>
      <c r="F73" s="84"/>
      <c r="G73" s="84"/>
      <c r="H73" s="84"/>
      <c r="I73" s="84"/>
      <c r="J73" s="84"/>
      <c r="K73" s="84"/>
      <c r="L73" s="85"/>
      <c r="M73" s="43"/>
      <c r="N73" s="54"/>
      <c r="O73" s="63"/>
    </row>
    <row r="74" spans="1:123" s="31" customFormat="1" x14ac:dyDescent="0.2">
      <c r="A74" s="302" t="s">
        <v>225</v>
      </c>
      <c r="B74" s="73" t="s">
        <v>230</v>
      </c>
      <c r="C74" s="42"/>
      <c r="D74" s="84">
        <v>1.2</v>
      </c>
      <c r="E74" s="84">
        <v>0.9</v>
      </c>
      <c r="F74" s="84"/>
      <c r="G74" s="84"/>
      <c r="H74" s="84"/>
      <c r="I74" s="84">
        <v>1</v>
      </c>
      <c r="J74" s="84"/>
      <c r="K74" s="84">
        <f>TRUNC(D74*E74*I74,1)</f>
        <v>1</v>
      </c>
      <c r="L74" s="85"/>
      <c r="M74" s="43"/>
      <c r="N74" s="54"/>
      <c r="O74" s="63"/>
    </row>
    <row r="75" spans="1:123" s="31" customFormat="1" ht="22.5" x14ac:dyDescent="0.2">
      <c r="A75" s="302"/>
      <c r="B75" s="73" t="s">
        <v>231</v>
      </c>
      <c r="C75" s="42"/>
      <c r="D75" s="84">
        <v>1.2</v>
      </c>
      <c r="E75" s="84"/>
      <c r="F75" s="84">
        <v>1.2</v>
      </c>
      <c r="G75" s="84"/>
      <c r="H75" s="84"/>
      <c r="I75" s="84">
        <v>1</v>
      </c>
      <c r="J75" s="84"/>
      <c r="K75" s="84">
        <f>TRUNC(D75*F75*I75,2)</f>
        <v>1.44</v>
      </c>
      <c r="L75" s="85"/>
      <c r="M75" s="43"/>
      <c r="N75" s="54"/>
      <c r="O75" s="63"/>
    </row>
    <row r="76" spans="1:123" s="31" customFormat="1" x14ac:dyDescent="0.2">
      <c r="A76" s="101"/>
      <c r="B76" s="73"/>
      <c r="C76" s="42"/>
      <c r="D76" s="84"/>
      <c r="E76" s="84"/>
      <c r="F76" s="84"/>
      <c r="G76" s="84"/>
      <c r="H76" s="84"/>
      <c r="I76" s="84"/>
      <c r="J76" s="84"/>
      <c r="K76" s="84"/>
      <c r="L76" s="84"/>
      <c r="M76" s="84"/>
      <c r="N76" s="54"/>
      <c r="O76" s="63"/>
    </row>
    <row r="77" spans="1:123" s="35" customFormat="1" x14ac:dyDescent="0.2">
      <c r="A77" s="93">
        <f>PLANILHA!A34</f>
        <v>6</v>
      </c>
      <c r="B77" s="71" t="str">
        <f>PLANILHA!B34</f>
        <v>COBERTURA</v>
      </c>
      <c r="C77" s="49"/>
      <c r="D77" s="50"/>
      <c r="E77" s="50"/>
      <c r="F77" s="50"/>
      <c r="G77" s="50"/>
      <c r="H77" s="50"/>
      <c r="I77" s="50"/>
      <c r="J77" s="50"/>
      <c r="K77" s="50"/>
      <c r="L77" s="50"/>
      <c r="M77" s="51"/>
      <c r="N77" s="52"/>
      <c r="O77" s="62"/>
      <c r="P77" s="31"/>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7"/>
      <c r="BR77" s="27"/>
      <c r="BS77" s="27"/>
      <c r="BT77" s="27"/>
      <c r="BU77" s="27"/>
      <c r="BV77" s="27"/>
      <c r="BW77" s="27"/>
      <c r="BX77" s="27"/>
      <c r="BY77" s="27"/>
      <c r="BZ77" s="27"/>
      <c r="CA77" s="27"/>
      <c r="CB77" s="27"/>
      <c r="CC77" s="27"/>
      <c r="CD77" s="27"/>
      <c r="CE77" s="27"/>
      <c r="CF77" s="27"/>
      <c r="CG77" s="27"/>
      <c r="CH77" s="27"/>
      <c r="CI77" s="27"/>
      <c r="CJ77" s="27"/>
      <c r="CK77" s="27"/>
      <c r="CL77" s="27"/>
      <c r="CM77" s="27"/>
      <c r="CN77" s="27"/>
      <c r="CO77" s="27"/>
      <c r="CP77" s="27"/>
      <c r="CQ77" s="27"/>
      <c r="CR77" s="27"/>
      <c r="CS77" s="27"/>
      <c r="CT77" s="27"/>
      <c r="CU77" s="27"/>
      <c r="CV77" s="27"/>
      <c r="CW77" s="27"/>
      <c r="CX77" s="27"/>
      <c r="CY77" s="27"/>
      <c r="CZ77" s="27"/>
      <c r="DA77" s="27"/>
      <c r="DB77" s="27"/>
      <c r="DC77" s="27"/>
      <c r="DD77" s="27"/>
      <c r="DE77" s="27"/>
      <c r="DF77" s="27"/>
      <c r="DG77" s="27"/>
      <c r="DH77" s="27"/>
      <c r="DI77" s="27"/>
      <c r="DJ77" s="27"/>
      <c r="DK77" s="27"/>
      <c r="DL77" s="27"/>
      <c r="DM77" s="27"/>
      <c r="DN77" s="27"/>
      <c r="DO77" s="27"/>
      <c r="DP77" s="27"/>
      <c r="DQ77" s="27"/>
      <c r="DR77" s="27"/>
      <c r="DS77" s="27"/>
    </row>
    <row r="78" spans="1:123" ht="22.5" x14ac:dyDescent="0.2">
      <c r="A78" s="102" t="str">
        <f>PLANILHA!A35</f>
        <v xml:space="preserve">6.1 </v>
      </c>
      <c r="B78" s="75" t="str">
        <f>VLOOKUP(A78,PLANILHA!A:N,2,FALSE)</f>
        <v>TELHAMENTO COM TELHA DE AÇO/ALUMÍNIO E = 0,5 MM, COM ATÉ 2 ÁGUAS, INCLUSO IÇAMENTO. AF_07/2019</v>
      </c>
      <c r="C78" s="32" t="str">
        <f>VLOOKUP(A78,PLANILHA!A:N,3,FALSE)</f>
        <v>m²</v>
      </c>
      <c r="D78" s="33"/>
      <c r="E78" s="33"/>
      <c r="F78" s="33"/>
      <c r="G78" s="33"/>
      <c r="H78" s="33"/>
      <c r="I78" s="33"/>
      <c r="J78" s="33"/>
      <c r="K78" s="47"/>
      <c r="L78" s="33">
        <f>SUM(K79:K80)</f>
        <v>0</v>
      </c>
      <c r="M78" s="34">
        <f>VLOOKUP(A78,PLANILHA!A:N,4,FALSE)</f>
        <v>657</v>
      </c>
      <c r="N78" s="48">
        <f>VLOOKUP(A78,PLANILHA!A:N,7,FALSE)</f>
        <v>657</v>
      </c>
      <c r="O78" s="63"/>
    </row>
    <row r="79" spans="1:123" s="31" customFormat="1" x14ac:dyDescent="0.2">
      <c r="A79" s="100"/>
      <c r="B79" s="73"/>
      <c r="C79" s="42"/>
      <c r="D79" s="84"/>
      <c r="E79" s="84"/>
      <c r="F79" s="84"/>
      <c r="G79" s="84"/>
      <c r="H79" s="84"/>
      <c r="I79" s="84"/>
      <c r="J79" s="84"/>
      <c r="K79" s="84"/>
      <c r="L79" s="85"/>
      <c r="M79" s="43"/>
      <c r="N79" s="54"/>
      <c r="O79" s="63"/>
    </row>
    <row r="80" spans="1:123" s="31" customFormat="1" x14ac:dyDescent="0.2">
      <c r="A80" s="101"/>
      <c r="B80" s="73"/>
      <c r="C80" s="42"/>
      <c r="D80" s="84"/>
      <c r="E80" s="84"/>
      <c r="F80" s="84"/>
      <c r="G80" s="84"/>
      <c r="H80" s="84"/>
      <c r="I80" s="84"/>
      <c r="J80" s="84"/>
      <c r="K80" s="84"/>
      <c r="L80" s="84"/>
      <c r="M80" s="84"/>
      <c r="N80" s="54"/>
      <c r="O80" s="63"/>
    </row>
    <row r="81" spans="1:123" s="35" customFormat="1" x14ac:dyDescent="0.2">
      <c r="A81" s="93">
        <f>PLANILHA!A36</f>
        <v>7</v>
      </c>
      <c r="B81" s="71" t="str">
        <f>PLANILHA!B36</f>
        <v>INSTALAÇÕES ELÉTRICAS</v>
      </c>
      <c r="C81" s="49"/>
      <c r="D81" s="50"/>
      <c r="E81" s="50"/>
      <c r="F81" s="50"/>
      <c r="G81" s="50"/>
      <c r="H81" s="50"/>
      <c r="I81" s="50"/>
      <c r="J81" s="50"/>
      <c r="K81" s="50"/>
      <c r="L81" s="50"/>
      <c r="M81" s="51"/>
      <c r="N81" s="52"/>
      <c r="O81" s="62"/>
      <c r="P81" s="31"/>
      <c r="Q81" s="27"/>
      <c r="R81" s="27"/>
      <c r="S81" s="27"/>
      <c r="T81" s="27"/>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7"/>
      <c r="BM81" s="27"/>
      <c r="BN81" s="27"/>
      <c r="BO81" s="27"/>
      <c r="BP81" s="27"/>
      <c r="BQ81" s="27"/>
      <c r="BR81" s="27"/>
      <c r="BS81" s="27"/>
      <c r="BT81" s="27"/>
      <c r="BU81" s="27"/>
      <c r="BV81" s="27"/>
      <c r="BW81" s="27"/>
      <c r="BX81" s="27"/>
      <c r="BY81" s="27"/>
      <c r="BZ81" s="27"/>
      <c r="CA81" s="27"/>
      <c r="CB81" s="27"/>
      <c r="CC81" s="27"/>
      <c r="CD81" s="27"/>
      <c r="CE81" s="27"/>
      <c r="CF81" s="27"/>
      <c r="CG81" s="27"/>
      <c r="CH81" s="27"/>
      <c r="CI81" s="27"/>
      <c r="CJ81" s="27"/>
      <c r="CK81" s="27"/>
      <c r="CL81" s="27"/>
      <c r="CM81" s="27"/>
      <c r="CN81" s="27"/>
      <c r="CO81" s="27"/>
      <c r="CP81" s="27"/>
      <c r="CQ81" s="27"/>
      <c r="CR81" s="27"/>
      <c r="CS81" s="27"/>
      <c r="CT81" s="27"/>
      <c r="CU81" s="27"/>
      <c r="CV81" s="27"/>
      <c r="CW81" s="27"/>
      <c r="CX81" s="27"/>
      <c r="CY81" s="27"/>
      <c r="CZ81" s="27"/>
      <c r="DA81" s="27"/>
      <c r="DB81" s="27"/>
      <c r="DC81" s="27"/>
      <c r="DD81" s="27"/>
      <c r="DE81" s="27"/>
      <c r="DF81" s="27"/>
      <c r="DG81" s="27"/>
      <c r="DH81" s="27"/>
      <c r="DI81" s="27"/>
      <c r="DJ81" s="27"/>
      <c r="DK81" s="27"/>
      <c r="DL81" s="27"/>
      <c r="DM81" s="27"/>
      <c r="DN81" s="27"/>
      <c r="DO81" s="27"/>
      <c r="DP81" s="27"/>
      <c r="DQ81" s="27"/>
      <c r="DR81" s="27"/>
      <c r="DS81" s="27"/>
    </row>
    <row r="82" spans="1:123" ht="22.5" x14ac:dyDescent="0.2">
      <c r="A82" s="103" t="str">
        <f>PLANILHA!A37</f>
        <v xml:space="preserve">7.1 </v>
      </c>
      <c r="B82" s="75" t="str">
        <f>VLOOKUP(A82,PLANILHA!A:N,2,FALSE)</f>
        <v>REFLETOR SLIM LED 100W DE POTÊNCIA, BRANCO FRIO, 6500K, AUTOVOLT, MARCA G-LIGHT OU SIMILAR</v>
      </c>
      <c r="C82" s="46" t="str">
        <f>VLOOKUP(A82,PLANILHA!A:N,3,FALSE)</f>
        <v>UN</v>
      </c>
      <c r="D82" s="47"/>
      <c r="E82" s="47"/>
      <c r="F82" s="47"/>
      <c r="G82" s="47"/>
      <c r="H82" s="47"/>
      <c r="I82" s="47"/>
      <c r="J82" s="47"/>
      <c r="K82" s="47"/>
      <c r="L82" s="33">
        <f>SUM(K83:K84)</f>
        <v>0</v>
      </c>
      <c r="M82" s="44">
        <f>VLOOKUP(A82,PLANILHA!A:N,4,FALSE)</f>
        <v>30</v>
      </c>
      <c r="N82" s="45">
        <f>VLOOKUP(A82,PLANILHA!A:N,7,FALSE)</f>
        <v>30</v>
      </c>
      <c r="O82" s="63"/>
    </row>
    <row r="83" spans="1:123" s="31" customFormat="1" x14ac:dyDescent="0.2">
      <c r="A83" s="100"/>
      <c r="B83" s="73"/>
      <c r="C83" s="42"/>
      <c r="D83" s="84"/>
      <c r="E83" s="84"/>
      <c r="F83" s="84"/>
      <c r="G83" s="84"/>
      <c r="H83" s="84"/>
      <c r="I83" s="84"/>
      <c r="J83" s="84"/>
      <c r="K83" s="84"/>
      <c r="L83" s="85"/>
      <c r="M83" s="43"/>
      <c r="N83" s="54"/>
      <c r="O83" s="63"/>
    </row>
    <row r="84" spans="1:123" s="31" customFormat="1" x14ac:dyDescent="0.2">
      <c r="A84" s="101"/>
      <c r="B84" s="73"/>
      <c r="C84" s="42"/>
      <c r="D84" s="84"/>
      <c r="E84" s="84"/>
      <c r="F84" s="84"/>
      <c r="G84" s="84"/>
      <c r="H84" s="84"/>
      <c r="I84" s="84"/>
      <c r="J84" s="84"/>
      <c r="K84" s="84"/>
      <c r="L84" s="84"/>
      <c r="M84" s="84"/>
      <c r="N84" s="54"/>
      <c r="O84" s="63"/>
    </row>
    <row r="85" spans="1:123" ht="22.5" x14ac:dyDescent="0.2">
      <c r="A85" s="102" t="str">
        <f>PLANILHA!A38</f>
        <v xml:space="preserve">7.2 </v>
      </c>
      <c r="B85" s="75" t="str">
        <f>VLOOKUP(A85,PLANILHA!A:N,2,FALSE)</f>
        <v>ELETRODUTO RÍGIDO SOLDÁVEL, PVC, DN 32 MM (1"), APARENTE - FORNECIMENTO E INSTALAÇÃO. AF_10/2022</v>
      </c>
      <c r="C85" s="32" t="str">
        <f>VLOOKUP(A85,PLANILHA!A:N,3,FALSE)</f>
        <v>M</v>
      </c>
      <c r="D85" s="33"/>
      <c r="E85" s="33"/>
      <c r="F85" s="33"/>
      <c r="G85" s="33"/>
      <c r="H85" s="33"/>
      <c r="I85" s="33"/>
      <c r="J85" s="33"/>
      <c r="K85" s="33"/>
      <c r="L85" s="33">
        <f>SUM(K86:K87)</f>
        <v>0</v>
      </c>
      <c r="M85" s="34">
        <f>VLOOKUP(A85,PLANILHA!A:N,4,FALSE)</f>
        <v>200</v>
      </c>
      <c r="N85" s="48">
        <f>VLOOKUP(A85,PLANILHA!A:N,7,FALSE)</f>
        <v>200</v>
      </c>
      <c r="O85" s="179" t="s">
        <v>126</v>
      </c>
    </row>
    <row r="86" spans="1:123" s="31" customFormat="1" x14ac:dyDescent="0.2">
      <c r="A86" s="100"/>
      <c r="B86" s="73"/>
      <c r="C86" s="42"/>
      <c r="D86" s="84"/>
      <c r="E86" s="84"/>
      <c r="F86" s="84"/>
      <c r="G86" s="84"/>
      <c r="H86" s="84"/>
      <c r="I86" s="84"/>
      <c r="J86" s="84"/>
      <c r="K86" s="84"/>
      <c r="L86" s="85"/>
      <c r="M86" s="43"/>
      <c r="N86" s="54"/>
      <c r="O86" s="63"/>
    </row>
    <row r="87" spans="1:123" s="31" customFormat="1" x14ac:dyDescent="0.2">
      <c r="A87" s="101"/>
      <c r="B87" s="73"/>
      <c r="C87" s="42"/>
      <c r="D87" s="84"/>
      <c r="E87" s="84"/>
      <c r="F87" s="84"/>
      <c r="G87" s="84"/>
      <c r="H87" s="84"/>
      <c r="I87" s="84"/>
      <c r="J87" s="84"/>
      <c r="K87" s="84"/>
      <c r="L87" s="84"/>
      <c r="M87" s="84"/>
      <c r="N87" s="54"/>
      <c r="O87" s="63"/>
    </row>
    <row r="88" spans="1:123" ht="22.5" x14ac:dyDescent="0.2">
      <c r="A88" s="102" t="str">
        <f>PLANILHA!A39</f>
        <v xml:space="preserve">7.3 </v>
      </c>
      <c r="B88" s="75" t="str">
        <f>VLOOKUP(A88,PLANILHA!A:N,2,FALSE)</f>
        <v>CURVA 90° PVC RIGIDO SOLDAVEL MARROM, D= 32MM (1''), APARENTE - FORNECIMENTO E INSTALAÇÃO.</v>
      </c>
      <c r="C88" s="32" t="str">
        <f>VLOOKUP(A88,PLANILHA!A:N,3,FALSE)</f>
        <v>UN</v>
      </c>
      <c r="D88" s="33"/>
      <c r="E88" s="33"/>
      <c r="F88" s="33"/>
      <c r="G88" s="33"/>
      <c r="H88" s="33"/>
      <c r="I88" s="33"/>
      <c r="J88" s="33"/>
      <c r="K88" s="33"/>
      <c r="L88" s="33">
        <f>SUM(K89:K90)</f>
        <v>0</v>
      </c>
      <c r="M88" s="34">
        <f>VLOOKUP(A88,PLANILHA!A:N,4,FALSE)</f>
        <v>10</v>
      </c>
      <c r="N88" s="48">
        <f>VLOOKUP(A88,PLANILHA!A:N,7,FALSE)</f>
        <v>10</v>
      </c>
      <c r="O88" s="63"/>
    </row>
    <row r="89" spans="1:123" s="31" customFormat="1" x14ac:dyDescent="0.2">
      <c r="A89" s="100"/>
      <c r="B89" s="73"/>
      <c r="C89" s="42"/>
      <c r="D89" s="84"/>
      <c r="E89" s="84"/>
      <c r="F89" s="84"/>
      <c r="G89" s="84"/>
      <c r="H89" s="84"/>
      <c r="I89" s="84"/>
      <c r="J89" s="84"/>
      <c r="K89" s="84"/>
      <c r="L89" s="85"/>
      <c r="M89" s="43"/>
      <c r="N89" s="54"/>
      <c r="O89" s="63"/>
    </row>
    <row r="90" spans="1:123" s="31" customFormat="1" x14ac:dyDescent="0.2">
      <c r="A90" s="101"/>
      <c r="B90" s="73"/>
      <c r="C90" s="42"/>
      <c r="D90" s="84"/>
      <c r="E90" s="84"/>
      <c r="F90" s="84"/>
      <c r="G90" s="84"/>
      <c r="H90" s="84"/>
      <c r="I90" s="84"/>
      <c r="J90" s="84"/>
      <c r="K90" s="84"/>
      <c r="L90" s="84"/>
      <c r="M90" s="84"/>
      <c r="N90" s="54"/>
      <c r="O90" s="63"/>
    </row>
    <row r="91" spans="1:123" ht="22.5" x14ac:dyDescent="0.2">
      <c r="A91" s="102" t="str">
        <f>PLANILHA!A40</f>
        <v xml:space="preserve">7.4 </v>
      </c>
      <c r="B91" s="75" t="str">
        <f>VLOOKUP(A91,PLANILHA!A:N,2,FALSE)</f>
        <v>CONDULETE DE PVC, TIPO C, PARA ELETRODUTO DE PVC SOLDÁVEL DN 32 MM (1''), APARENTE - FORNECIMENTO E INSTALAÇÃO. AF_10/2022</v>
      </c>
      <c r="C91" s="32" t="str">
        <f>VLOOKUP(A91,PLANILHA!A:N,3,FALSE)</f>
        <v>UN</v>
      </c>
      <c r="D91" s="33"/>
      <c r="E91" s="33"/>
      <c r="F91" s="33"/>
      <c r="G91" s="33"/>
      <c r="H91" s="33"/>
      <c r="I91" s="33"/>
      <c r="J91" s="33"/>
      <c r="K91" s="33"/>
      <c r="L91" s="33">
        <f>SUM(K92:K93)</f>
        <v>0</v>
      </c>
      <c r="M91" s="34">
        <f>VLOOKUP(A91,PLANILHA!A:N,4,FALSE)</f>
        <v>21</v>
      </c>
      <c r="N91" s="48">
        <f>VLOOKUP(A91,PLANILHA!A:N,7,FALSE)</f>
        <v>21</v>
      </c>
      <c r="O91" s="63"/>
    </row>
    <row r="92" spans="1:123" s="31" customFormat="1" x14ac:dyDescent="0.2">
      <c r="A92" s="100"/>
      <c r="B92" s="73"/>
      <c r="C92" s="42"/>
      <c r="D92" s="84"/>
      <c r="E92" s="84"/>
      <c r="F92" s="84"/>
      <c r="G92" s="84"/>
      <c r="H92" s="84"/>
      <c r="I92" s="84"/>
      <c r="J92" s="84"/>
      <c r="K92" s="84"/>
      <c r="L92" s="85"/>
      <c r="M92" s="43"/>
      <c r="N92" s="54"/>
      <c r="O92" s="63"/>
    </row>
    <row r="93" spans="1:123" s="31" customFormat="1" x14ac:dyDescent="0.2">
      <c r="A93" s="98"/>
      <c r="B93" s="73"/>
      <c r="C93" s="42"/>
      <c r="D93" s="84"/>
      <c r="E93" s="84"/>
      <c r="F93" s="84"/>
      <c r="G93" s="84"/>
      <c r="H93" s="84"/>
      <c r="I93" s="84"/>
      <c r="J93" s="84"/>
      <c r="K93" s="84"/>
      <c r="L93" s="84"/>
      <c r="M93" s="84"/>
      <c r="N93" s="54"/>
      <c r="O93" s="63"/>
    </row>
    <row r="94" spans="1:123" ht="22.5" x14ac:dyDescent="0.2">
      <c r="A94" s="102" t="str">
        <f>PLANILHA!A41</f>
        <v>7.5</v>
      </c>
      <c r="B94" s="75" t="str">
        <f>VLOOKUP(A94,PLANILHA!A:N,2,FALSE)</f>
        <v>CONDULETE DE PVC, TIPO E, PARA ELETRODUTO DE PVC SOLDÁVEL DN 32 MM (1''), APARENTE - FORNECIMENTO E INSTALAÇÃO. AF_10/2022</v>
      </c>
      <c r="C94" s="32" t="str">
        <f>VLOOKUP(A94,PLANILHA!A:N,3,FALSE)</f>
        <v>UN</v>
      </c>
      <c r="D94" s="33"/>
      <c r="E94" s="33"/>
      <c r="F94" s="33"/>
      <c r="G94" s="33"/>
      <c r="H94" s="33"/>
      <c r="I94" s="33"/>
      <c r="J94" s="33"/>
      <c r="K94" s="33"/>
      <c r="L94" s="33">
        <f>SUM(K95:K96)</f>
        <v>0</v>
      </c>
      <c r="M94" s="34">
        <f>VLOOKUP(A94,PLANILHA!A:N,4,FALSE)</f>
        <v>3</v>
      </c>
      <c r="N94" s="48">
        <f>VLOOKUP(A94,PLANILHA!A:N,7,FALSE)</f>
        <v>3</v>
      </c>
      <c r="O94" s="63" t="s">
        <v>114</v>
      </c>
    </row>
    <row r="95" spans="1:123" x14ac:dyDescent="0.2">
      <c r="A95" s="100"/>
      <c r="B95" s="73"/>
      <c r="C95" s="42"/>
      <c r="D95" s="84"/>
      <c r="E95" s="84"/>
      <c r="F95" s="84"/>
      <c r="G95" s="84"/>
      <c r="H95" s="84"/>
      <c r="I95" s="84"/>
      <c r="J95" s="84"/>
      <c r="K95" s="84"/>
      <c r="L95" s="85"/>
      <c r="M95" s="43"/>
      <c r="N95" s="54"/>
      <c r="O95" s="63" t="s">
        <v>114</v>
      </c>
    </row>
    <row r="96" spans="1:123" x14ac:dyDescent="0.2">
      <c r="A96" s="98"/>
      <c r="B96" s="73"/>
      <c r="C96" s="42"/>
      <c r="D96" s="84"/>
      <c r="E96" s="84"/>
      <c r="F96" s="84"/>
      <c r="G96" s="84"/>
      <c r="H96" s="84"/>
      <c r="I96" s="84"/>
      <c r="J96" s="84"/>
      <c r="K96" s="84"/>
      <c r="L96" s="84"/>
      <c r="M96" s="84"/>
      <c r="N96" s="54"/>
      <c r="O96" s="63" t="s">
        <v>114</v>
      </c>
    </row>
    <row r="97" spans="1:15" ht="22.5" x14ac:dyDescent="0.2">
      <c r="A97" s="102" t="str">
        <f>PLANILHA!A42</f>
        <v>7.6</v>
      </c>
      <c r="B97" s="75" t="str">
        <f>VLOOKUP(A97,PLANILHA!A:N,2,FALSE)</f>
        <v>CONDULETE DE PVC, TIPO T, PARA ELETRODUTO DE PVC SOLDÁVEL DN 32 MM (1''), APARENTE - FORNECIMENTO E INSTALAÇÃO. AF_10/2022</v>
      </c>
      <c r="C97" s="32" t="str">
        <f>VLOOKUP(A97,PLANILHA!A:N,3,FALSE)</f>
        <v>UN</v>
      </c>
      <c r="D97" s="33"/>
      <c r="E97" s="33"/>
      <c r="F97" s="33"/>
      <c r="G97" s="33"/>
      <c r="H97" s="33"/>
      <c r="I97" s="33"/>
      <c r="J97" s="33"/>
      <c r="K97" s="33"/>
      <c r="L97" s="33">
        <f>SUM(K98:K99)</f>
        <v>0</v>
      </c>
      <c r="M97" s="34">
        <f>VLOOKUP(A97,PLANILHA!A:N,4,FALSE)</f>
        <v>3</v>
      </c>
      <c r="N97" s="48">
        <f>VLOOKUP(A97,PLANILHA!A:N,7,FALSE)</f>
        <v>3</v>
      </c>
      <c r="O97" s="63"/>
    </row>
    <row r="98" spans="1:15" x14ac:dyDescent="0.2">
      <c r="A98" s="100"/>
      <c r="B98" s="73"/>
      <c r="C98" s="42"/>
      <c r="D98" s="84"/>
      <c r="E98" s="84"/>
      <c r="F98" s="84"/>
      <c r="G98" s="84"/>
      <c r="H98" s="84"/>
      <c r="I98" s="84"/>
      <c r="J98" s="84"/>
      <c r="K98" s="84"/>
      <c r="L98" s="85"/>
      <c r="M98" s="43"/>
      <c r="N98" s="54"/>
      <c r="O98" s="63"/>
    </row>
    <row r="99" spans="1:15" x14ac:dyDescent="0.2">
      <c r="A99" s="98"/>
      <c r="B99" s="73"/>
      <c r="C99" s="42"/>
      <c r="D99" s="84"/>
      <c r="E99" s="84"/>
      <c r="F99" s="84"/>
      <c r="G99" s="84"/>
      <c r="H99" s="84"/>
      <c r="I99" s="84"/>
      <c r="J99" s="84"/>
      <c r="K99" s="84"/>
      <c r="L99" s="84"/>
      <c r="M99" s="84"/>
      <c r="N99" s="54"/>
      <c r="O99" s="63"/>
    </row>
    <row r="100" spans="1:15" ht="22.5" x14ac:dyDescent="0.2">
      <c r="A100" s="102" t="str">
        <f>PLANILHA!A43</f>
        <v>7.7</v>
      </c>
      <c r="B100" s="75" t="str">
        <f>VLOOKUP(A100,PLANILHA!A:N,2,FALSE)</f>
        <v>CABO DE COBRE FLEXÍVEL ISOLADO, 2,5 MM², ANTI-CHAMA 450/750 V, PARA CIRCUITOS TERMINAIS - FORNECIMENTO E INSTALAÇÃO. AF_03/2023</v>
      </c>
      <c r="C100" s="32" t="str">
        <f>VLOOKUP(A100,PLANILHA!A:N,3,FALSE)</f>
        <v>M</v>
      </c>
      <c r="D100" s="33"/>
      <c r="E100" s="33"/>
      <c r="F100" s="33"/>
      <c r="G100" s="33"/>
      <c r="H100" s="33"/>
      <c r="I100" s="33"/>
      <c r="J100" s="33"/>
      <c r="K100" s="33"/>
      <c r="L100" s="33">
        <f>SUM(K101:K102)</f>
        <v>0</v>
      </c>
      <c r="M100" s="34">
        <f>VLOOKUP(A100,PLANILHA!A:N,4,FALSE)</f>
        <v>840</v>
      </c>
      <c r="N100" s="48">
        <f>VLOOKUP(A100,PLANILHA!A:N,7,FALSE)</f>
        <v>840</v>
      </c>
      <c r="O100" s="63"/>
    </row>
    <row r="101" spans="1:15" x14ac:dyDescent="0.2">
      <c r="A101" s="100"/>
      <c r="B101" s="73"/>
      <c r="C101" s="42"/>
      <c r="D101" s="84"/>
      <c r="E101" s="84"/>
      <c r="F101" s="84"/>
      <c r="G101" s="84"/>
      <c r="H101" s="84"/>
      <c r="I101" s="84"/>
      <c r="J101" s="84"/>
      <c r="K101" s="84"/>
      <c r="L101" s="85"/>
      <c r="M101" s="43"/>
      <c r="N101" s="54"/>
      <c r="O101" s="63"/>
    </row>
    <row r="102" spans="1:15" x14ac:dyDescent="0.2">
      <c r="A102" s="98"/>
      <c r="B102" s="73"/>
      <c r="C102" s="42"/>
      <c r="D102" s="84"/>
      <c r="E102" s="84"/>
      <c r="F102" s="84"/>
      <c r="G102" s="84"/>
      <c r="H102" s="84"/>
      <c r="I102" s="84"/>
      <c r="J102" s="84"/>
      <c r="K102" s="84"/>
      <c r="L102" s="84"/>
      <c r="M102" s="84"/>
      <c r="N102" s="54"/>
      <c r="O102" s="63"/>
    </row>
    <row r="103" spans="1:15" ht="22.5" x14ac:dyDescent="0.2">
      <c r="A103" s="102" t="str">
        <f>PLANILHA!A44</f>
        <v>7.8</v>
      </c>
      <c r="B103" s="75" t="str">
        <f>VLOOKUP(A103,PLANILHA!A:N,2,FALSE)</f>
        <v>CABO DE COBRE FLEXÍVEL ISOLADO, 4 MM², ANTI-CHAMA 450/750 V, PARA CIRCUITOS TERMINAIS - FORNECIMENTO E INSTALAÇÃO. AF_03/2023</v>
      </c>
      <c r="C103" s="32" t="str">
        <f>VLOOKUP(A103,PLANILHA!A:N,3,FALSE)</f>
        <v>M</v>
      </c>
      <c r="D103" s="33"/>
      <c r="E103" s="33"/>
      <c r="F103" s="33"/>
      <c r="G103" s="33"/>
      <c r="H103" s="33"/>
      <c r="I103" s="33"/>
      <c r="J103" s="33"/>
      <c r="K103" s="33"/>
      <c r="L103" s="33">
        <f>SUM(K104:K105)</f>
        <v>0</v>
      </c>
      <c r="M103" s="34">
        <f>VLOOKUP(A103,PLANILHA!A:N,4,FALSE)</f>
        <v>360</v>
      </c>
      <c r="N103" s="48">
        <f>VLOOKUP(A103,PLANILHA!A:N,7,FALSE)</f>
        <v>360</v>
      </c>
      <c r="O103" s="63"/>
    </row>
    <row r="104" spans="1:15" x14ac:dyDescent="0.2">
      <c r="A104" s="100"/>
      <c r="B104" s="73"/>
      <c r="C104" s="42"/>
      <c r="D104" s="84"/>
      <c r="E104" s="84"/>
      <c r="F104" s="84"/>
      <c r="G104" s="84"/>
      <c r="H104" s="84"/>
      <c r="I104" s="84"/>
      <c r="J104" s="84"/>
      <c r="K104" s="84"/>
      <c r="L104" s="85"/>
      <c r="M104" s="43"/>
      <c r="N104" s="54"/>
      <c r="O104" s="63"/>
    </row>
    <row r="105" spans="1:15" x14ac:dyDescent="0.2">
      <c r="A105" s="98"/>
      <c r="B105" s="73"/>
      <c r="C105" s="42"/>
      <c r="D105" s="84"/>
      <c r="E105" s="84"/>
      <c r="F105" s="84"/>
      <c r="G105" s="84"/>
      <c r="H105" s="84"/>
      <c r="I105" s="84"/>
      <c r="J105" s="84"/>
      <c r="K105" s="84"/>
      <c r="L105" s="84"/>
      <c r="M105" s="84"/>
      <c r="N105" s="54"/>
      <c r="O105" s="63"/>
    </row>
    <row r="106" spans="1:15" ht="22.5" x14ac:dyDescent="0.2">
      <c r="A106" s="102" t="str">
        <f>PLANILHA!A45</f>
        <v>7.9</v>
      </c>
      <c r="B106" s="75" t="str">
        <f>VLOOKUP(A106,PLANILHA!A:N,2,FALSE)</f>
        <v>CABO DE COBRE FLEXÍVEL ISOLADO, 6 MM², ANTI-CHAMA 450/750 V, PARA CIRCUITOS TERMINAIS - FORNECIMENTO E INSTALAÇÃO. AF_03/2023</v>
      </c>
      <c r="C106" s="32" t="str">
        <f>VLOOKUP(A106,PLANILHA!A:N,3,FALSE)</f>
        <v>M</v>
      </c>
      <c r="D106" s="33"/>
      <c r="E106" s="33"/>
      <c r="F106" s="33"/>
      <c r="G106" s="33"/>
      <c r="H106" s="33"/>
      <c r="I106" s="33"/>
      <c r="J106" s="33"/>
      <c r="K106" s="33"/>
      <c r="L106" s="33">
        <f>SUM(K107:K108)</f>
        <v>0</v>
      </c>
      <c r="M106" s="34">
        <f>VLOOKUP(A106,PLANILHA!A:N,4,FALSE)</f>
        <v>12</v>
      </c>
      <c r="N106" s="48">
        <f>VLOOKUP(A106,PLANILHA!A:N,7,FALSE)</f>
        <v>12</v>
      </c>
      <c r="O106" s="63"/>
    </row>
    <row r="107" spans="1:15" x14ac:dyDescent="0.2">
      <c r="A107" s="100"/>
      <c r="B107" s="73"/>
      <c r="C107" s="42"/>
      <c r="D107" s="84"/>
      <c r="E107" s="84"/>
      <c r="F107" s="84"/>
      <c r="G107" s="84"/>
      <c r="H107" s="84"/>
      <c r="I107" s="84"/>
      <c r="J107" s="84"/>
      <c r="K107" s="84"/>
      <c r="L107" s="85"/>
      <c r="M107" s="43"/>
      <c r="N107" s="54"/>
      <c r="O107" s="63"/>
    </row>
    <row r="108" spans="1:15" x14ac:dyDescent="0.2">
      <c r="A108" s="98"/>
      <c r="B108" s="73"/>
      <c r="C108" s="42"/>
      <c r="D108" s="84"/>
      <c r="E108" s="84"/>
      <c r="F108" s="84"/>
      <c r="G108" s="84"/>
      <c r="H108" s="84"/>
      <c r="I108" s="84"/>
      <c r="J108" s="84"/>
      <c r="K108" s="84"/>
      <c r="L108" s="84"/>
      <c r="M108" s="84"/>
      <c r="N108" s="54"/>
      <c r="O108" s="63"/>
    </row>
    <row r="109" spans="1:15" ht="33.75" x14ac:dyDescent="0.2">
      <c r="A109" s="102" t="str">
        <f>PLANILHA!A46</f>
        <v>7.10</v>
      </c>
      <c r="B109" s="75" t="str">
        <f>VLOOKUP(A109,PLANILHA!A:N,2,FALSE)</f>
        <v>QUADRO DE DISTRIBUICAO, EM PVC, DE EMBUTIR, COM BARRAMENTO TERRA / NEUTRO, PARA 12 DISJUNTORES NEMA OU 16 DISJUNTORES DIN - FORNECIMENTO E INSTALAÇÃO</v>
      </c>
      <c r="C109" s="32" t="str">
        <f>VLOOKUP(A109,PLANILHA!A:N,3,FALSE)</f>
        <v>UN</v>
      </c>
      <c r="D109" s="33"/>
      <c r="E109" s="33"/>
      <c r="F109" s="33"/>
      <c r="G109" s="33"/>
      <c r="H109" s="33"/>
      <c r="I109" s="33"/>
      <c r="J109" s="33"/>
      <c r="K109" s="33"/>
      <c r="L109" s="33">
        <f>SUM(K110:K111)</f>
        <v>0</v>
      </c>
      <c r="M109" s="34">
        <f>VLOOKUP(A109,PLANILHA!A:N,4,FALSE)</f>
        <v>1</v>
      </c>
      <c r="N109" s="48">
        <f>VLOOKUP(A109,PLANILHA!A:N,7,FALSE)</f>
        <v>1</v>
      </c>
      <c r="O109" s="63" t="s">
        <v>114</v>
      </c>
    </row>
    <row r="110" spans="1:15" x14ac:dyDescent="0.2">
      <c r="A110" s="100"/>
      <c r="B110" s="73"/>
      <c r="C110" s="42"/>
      <c r="D110" s="84"/>
      <c r="E110" s="84"/>
      <c r="F110" s="84"/>
      <c r="G110" s="84"/>
      <c r="H110" s="84"/>
      <c r="I110" s="84"/>
      <c r="J110" s="84"/>
      <c r="K110" s="84"/>
      <c r="L110" s="85"/>
      <c r="M110" s="43"/>
      <c r="N110" s="54"/>
      <c r="O110" s="63" t="s">
        <v>114</v>
      </c>
    </row>
    <row r="111" spans="1:15" x14ac:dyDescent="0.2">
      <c r="A111" s="98"/>
      <c r="B111" s="73"/>
      <c r="C111" s="42"/>
      <c r="D111" s="84"/>
      <c r="E111" s="84"/>
      <c r="F111" s="84"/>
      <c r="G111" s="84"/>
      <c r="H111" s="84"/>
      <c r="I111" s="84"/>
      <c r="J111" s="84"/>
      <c r="K111" s="84"/>
      <c r="L111" s="84"/>
      <c r="M111" s="84"/>
      <c r="N111" s="54"/>
      <c r="O111" s="63" t="s">
        <v>114</v>
      </c>
    </row>
    <row r="112" spans="1:15" ht="22.5" x14ac:dyDescent="0.2">
      <c r="A112" s="102" t="str">
        <f>PLANILHA!A47</f>
        <v>7.11</v>
      </c>
      <c r="B112" s="75" t="str">
        <f>VLOOKUP(A112,PLANILHA!A:N,2,FALSE)</f>
        <v>DISJUNTOR MONOPOLAR TIPO DIN, CORRENTE NOMINAL DE 32A - FORNECIMENTO E INSTALAÇÃO. AF_07/2025</v>
      </c>
      <c r="C112" s="32" t="str">
        <f>VLOOKUP(A112,PLANILHA!A:N,3,FALSE)</f>
        <v>UN</v>
      </c>
      <c r="D112" s="33"/>
      <c r="E112" s="33"/>
      <c r="F112" s="33"/>
      <c r="G112" s="33"/>
      <c r="H112" s="33"/>
      <c r="I112" s="33"/>
      <c r="J112" s="33"/>
      <c r="K112" s="33"/>
      <c r="L112" s="33">
        <f>SUM(K113:K114)</f>
        <v>0</v>
      </c>
      <c r="M112" s="34">
        <f>VLOOKUP(A112,PLANILHA!A:N,4,FALSE)</f>
        <v>1</v>
      </c>
      <c r="N112" s="48">
        <f>VLOOKUP(A112,PLANILHA!A:N,7,FALSE)</f>
        <v>1</v>
      </c>
      <c r="O112" s="63" t="s">
        <v>114</v>
      </c>
    </row>
    <row r="113" spans="1:123" x14ac:dyDescent="0.2">
      <c r="A113" s="100"/>
      <c r="B113" s="73"/>
      <c r="C113" s="42"/>
      <c r="D113" s="84"/>
      <c r="E113" s="84"/>
      <c r="F113" s="84"/>
      <c r="G113" s="84"/>
      <c r="H113" s="84"/>
      <c r="I113" s="84"/>
      <c r="J113" s="84"/>
      <c r="K113" s="84"/>
      <c r="L113" s="85"/>
      <c r="M113" s="43"/>
      <c r="N113" s="54"/>
      <c r="O113" s="63"/>
    </row>
    <row r="114" spans="1:123" x14ac:dyDescent="0.2">
      <c r="A114" s="98"/>
      <c r="B114" s="73"/>
      <c r="C114" s="42"/>
      <c r="D114" s="84"/>
      <c r="E114" s="84"/>
      <c r="F114" s="84"/>
      <c r="G114" s="84"/>
      <c r="H114" s="84"/>
      <c r="I114" s="84"/>
      <c r="J114" s="84"/>
      <c r="K114" s="84"/>
      <c r="L114" s="84"/>
      <c r="M114" s="84"/>
      <c r="N114" s="54"/>
      <c r="O114" s="63"/>
    </row>
    <row r="115" spans="1:123" ht="22.5" x14ac:dyDescent="0.2">
      <c r="A115" s="102" t="str">
        <f>PLANILHA!A48</f>
        <v>7.12</v>
      </c>
      <c r="B115" s="75" t="str">
        <f>VLOOKUP(A115,PLANILHA!A:N,2,FALSE)</f>
        <v>DISJUNTOR MONOPOLAR TIPO DIN, CORRENTE NOMINAL DE 20A - FORNECIMENTO E INSTALAÇÃO. AF_07/2025</v>
      </c>
      <c r="C115" s="32" t="str">
        <f>VLOOKUP(A115,PLANILHA!A:N,3,FALSE)</f>
        <v>UN</v>
      </c>
      <c r="D115" s="33"/>
      <c r="E115" s="33"/>
      <c r="F115" s="33"/>
      <c r="G115" s="33"/>
      <c r="H115" s="33"/>
      <c r="I115" s="33"/>
      <c r="J115" s="33"/>
      <c r="K115" s="33"/>
      <c r="L115" s="33">
        <f>SUM(K116:K117)</f>
        <v>0</v>
      </c>
      <c r="M115" s="34">
        <f>VLOOKUP(A115,PLANILHA!A:N,4,FALSE)</f>
        <v>2</v>
      </c>
      <c r="N115" s="48">
        <f>VLOOKUP(A115,PLANILHA!A:N,7,FALSE)</f>
        <v>2</v>
      </c>
      <c r="O115" s="179"/>
    </row>
    <row r="116" spans="1:123" x14ac:dyDescent="0.2">
      <c r="A116" s="100"/>
      <c r="B116" s="78"/>
      <c r="C116" s="36"/>
      <c r="D116" s="37"/>
      <c r="E116" s="37"/>
      <c r="F116" s="37"/>
      <c r="G116" s="37"/>
      <c r="H116" s="37"/>
      <c r="I116" s="37"/>
      <c r="J116" s="37"/>
      <c r="K116" s="37"/>
      <c r="L116" s="37"/>
      <c r="M116" s="38"/>
      <c r="N116" s="54"/>
      <c r="O116" s="63"/>
    </row>
    <row r="117" spans="1:123" x14ac:dyDescent="0.2">
      <c r="A117" s="101"/>
      <c r="B117" s="77"/>
      <c r="C117" s="39"/>
      <c r="D117" s="40"/>
      <c r="E117" s="40"/>
      <c r="F117" s="40"/>
      <c r="G117" s="40"/>
      <c r="H117" s="40"/>
      <c r="I117" s="40"/>
      <c r="J117" s="40"/>
      <c r="K117" s="40"/>
      <c r="L117" s="40"/>
      <c r="M117" s="41"/>
      <c r="N117" s="54"/>
      <c r="O117" s="63"/>
    </row>
    <row r="118" spans="1:123" ht="22.5" x14ac:dyDescent="0.2">
      <c r="A118" s="102" t="str">
        <f>PLANILHA!A49</f>
        <v>7.13</v>
      </c>
      <c r="B118" s="75" t="str">
        <f>VLOOKUP(A118,PLANILHA!A:N,2,FALSE)</f>
        <v>DISJUNTOR BIPOLAR TIPO DR, CORRENTE NOMINAL DE 40A SENSIBILIDADE DE 30MA - FORNECIMENTO E INSTALAÇÃO.</v>
      </c>
      <c r="C118" s="32" t="str">
        <f>VLOOKUP(A118,PLANILHA!A:N,3,FALSE)</f>
        <v>UN</v>
      </c>
      <c r="D118" s="33"/>
      <c r="E118" s="33"/>
      <c r="F118" s="33"/>
      <c r="G118" s="33"/>
      <c r="H118" s="33"/>
      <c r="I118" s="33"/>
      <c r="J118" s="33"/>
      <c r="K118" s="33"/>
      <c r="L118" s="33">
        <f>SUM(K119:K120)</f>
        <v>0</v>
      </c>
      <c r="M118" s="34">
        <f>VLOOKUP(A118,PLANILHA!A:N,4,FALSE)</f>
        <v>1</v>
      </c>
      <c r="N118" s="48">
        <f>VLOOKUP(A118,PLANILHA!A:N,7,FALSE)</f>
        <v>1</v>
      </c>
      <c r="O118" s="63"/>
    </row>
    <row r="119" spans="1:123" x14ac:dyDescent="0.2">
      <c r="A119" s="100"/>
      <c r="B119" s="78"/>
      <c r="C119" s="36"/>
      <c r="D119" s="37"/>
      <c r="E119" s="37"/>
      <c r="F119" s="37"/>
      <c r="G119" s="37"/>
      <c r="H119" s="37"/>
      <c r="I119" s="37"/>
      <c r="J119" s="37"/>
      <c r="K119" s="37"/>
      <c r="L119" s="37"/>
      <c r="M119" s="38"/>
      <c r="N119" s="54"/>
      <c r="O119" s="63"/>
    </row>
    <row r="120" spans="1:123" x14ac:dyDescent="0.2">
      <c r="A120" s="101"/>
      <c r="B120" s="77"/>
      <c r="C120" s="39"/>
      <c r="D120" s="40"/>
      <c r="E120" s="40"/>
      <c r="F120" s="40"/>
      <c r="G120" s="40"/>
      <c r="H120" s="40"/>
      <c r="I120" s="40"/>
      <c r="J120" s="40"/>
      <c r="K120" s="40"/>
      <c r="L120" s="40"/>
      <c r="M120" s="41"/>
      <c r="N120" s="54"/>
      <c r="O120" s="63"/>
    </row>
    <row r="121" spans="1:123" ht="22.5" x14ac:dyDescent="0.2">
      <c r="A121" s="103" t="str">
        <f>PLANILHA!A50</f>
        <v>7.14</v>
      </c>
      <c r="B121" s="76" t="str">
        <f>VLOOKUP(A121,PLANILHA!A:N,2,FALSE)</f>
        <v>DISPOSITIVO DE PROTEÇÃO CONTRA SURTO DE TENSÃO DPS 20KA - 275V. INC_05/2017</v>
      </c>
      <c r="C121" s="46" t="str">
        <f>VLOOKUP(A121,PLANILHA!A:N,3,FALSE)</f>
        <v>un</v>
      </c>
      <c r="D121" s="184"/>
      <c r="E121" s="47"/>
      <c r="F121" s="47"/>
      <c r="G121" s="47"/>
      <c r="H121" s="47"/>
      <c r="I121" s="47"/>
      <c r="J121" s="47"/>
      <c r="K121" s="47"/>
      <c r="L121" s="33">
        <f>SUM(K122:K123)</f>
        <v>0</v>
      </c>
      <c r="M121" s="44">
        <f>VLOOKUP(A121,PLANILHA!A:N,4,FALSE)</f>
        <v>2</v>
      </c>
      <c r="N121" s="48">
        <f>VLOOKUP(A121,PLANILHA!A:N,7,FALSE)</f>
        <v>2</v>
      </c>
      <c r="O121" s="179"/>
    </row>
    <row r="122" spans="1:123" x14ac:dyDescent="0.2">
      <c r="A122" s="100"/>
      <c r="B122" s="78"/>
      <c r="C122" s="36"/>
      <c r="D122" s="37"/>
      <c r="E122" s="37"/>
      <c r="F122" s="37"/>
      <c r="G122" s="37"/>
      <c r="H122" s="37"/>
      <c r="I122" s="37"/>
      <c r="J122" s="37"/>
      <c r="K122" s="37"/>
      <c r="L122" s="37"/>
      <c r="M122" s="38"/>
      <c r="N122" s="54"/>
      <c r="O122" s="63"/>
    </row>
    <row r="123" spans="1:123" x14ac:dyDescent="0.2">
      <c r="A123" s="101"/>
      <c r="B123" s="77"/>
      <c r="C123" s="39"/>
      <c r="D123" s="40"/>
      <c r="E123" s="40"/>
      <c r="F123" s="40"/>
      <c r="G123" s="40"/>
      <c r="H123" s="40"/>
      <c r="I123" s="40"/>
      <c r="J123" s="40"/>
      <c r="K123" s="40"/>
      <c r="L123" s="40"/>
      <c r="M123" s="41"/>
      <c r="N123" s="54"/>
      <c r="O123" s="63"/>
    </row>
    <row r="124" spans="1:123" s="35" customFormat="1" x14ac:dyDescent="0.2">
      <c r="A124" s="93">
        <f>PLANILHA!A51</f>
        <v>8</v>
      </c>
      <c r="B124" s="76" t="str">
        <f>VLOOKUP(A124,PLANILHA!A:N,2,FALSE)</f>
        <v>INSTALAÇÕES HIDROSSANITÁRIAS</v>
      </c>
      <c r="C124" s="49"/>
      <c r="D124" s="50"/>
      <c r="E124" s="50"/>
      <c r="F124" s="50"/>
      <c r="G124" s="50"/>
      <c r="H124" s="50"/>
      <c r="I124" s="50"/>
      <c r="J124" s="50"/>
      <c r="K124" s="50"/>
      <c r="L124" s="50"/>
      <c r="M124" s="51"/>
      <c r="N124" s="52"/>
      <c r="O124" s="62"/>
      <c r="P124" s="31"/>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c r="BO124" s="27"/>
      <c r="BP124" s="27"/>
      <c r="BQ124" s="27"/>
      <c r="BR124" s="27"/>
      <c r="BS124" s="27"/>
      <c r="BT124" s="27"/>
      <c r="BU124" s="27"/>
      <c r="BV124" s="27"/>
      <c r="BW124" s="27"/>
      <c r="BX124" s="27"/>
      <c r="BY124" s="27"/>
      <c r="BZ124" s="27"/>
      <c r="CA124" s="27"/>
      <c r="CB124" s="27"/>
      <c r="CC124" s="27"/>
      <c r="CD124" s="27"/>
      <c r="CE124" s="27"/>
      <c r="CF124" s="27"/>
      <c r="CG124" s="27"/>
      <c r="CH124" s="27"/>
      <c r="CI124" s="27"/>
      <c r="CJ124" s="27"/>
      <c r="CK124" s="27"/>
      <c r="CL124" s="27"/>
      <c r="CM124" s="27"/>
      <c r="CN124" s="27"/>
      <c r="CO124" s="27"/>
      <c r="CP124" s="27"/>
      <c r="CQ124" s="27"/>
      <c r="CR124" s="27"/>
      <c r="CS124" s="27"/>
      <c r="CT124" s="27"/>
      <c r="CU124" s="27"/>
      <c r="CV124" s="27"/>
      <c r="CW124" s="27"/>
      <c r="CX124" s="27"/>
      <c r="CY124" s="27"/>
      <c r="CZ124" s="27"/>
      <c r="DA124" s="27"/>
      <c r="DB124" s="27"/>
      <c r="DC124" s="27"/>
      <c r="DD124" s="27"/>
      <c r="DE124" s="27"/>
      <c r="DF124" s="27"/>
      <c r="DG124" s="27"/>
      <c r="DH124" s="27"/>
      <c r="DI124" s="27"/>
      <c r="DJ124" s="27"/>
      <c r="DK124" s="27"/>
      <c r="DL124" s="27"/>
      <c r="DM124" s="27"/>
      <c r="DN124" s="27"/>
      <c r="DO124" s="27"/>
      <c r="DP124" s="27"/>
      <c r="DQ124" s="27"/>
      <c r="DR124" s="27"/>
      <c r="DS124" s="27"/>
    </row>
    <row r="125" spans="1:123" ht="22.5" x14ac:dyDescent="0.2">
      <c r="A125" s="103" t="str">
        <f>PLANILHA!A52</f>
        <v xml:space="preserve">8.1 </v>
      </c>
      <c r="B125" s="76" t="str">
        <f>VLOOKUP(A125,PLANILHA!A:N,2,FALSE)</f>
        <v>CALHA EM CHAPA DE AÇO GALVANIZADO NÚMERO 24, DESENVOLVIMENTO DE 100 CM, INCLUSO TRANSPORTE VERTICAL. AF_07/2019</v>
      </c>
      <c r="C125" s="46" t="str">
        <f>VLOOKUP(A125,PLANILHA!A:N,3,FALSE)</f>
        <v>M</v>
      </c>
      <c r="D125" s="47"/>
      <c r="E125" s="47"/>
      <c r="F125" s="47"/>
      <c r="G125" s="47"/>
      <c r="H125" s="47"/>
      <c r="I125" s="47"/>
      <c r="J125" s="47"/>
      <c r="K125" s="47"/>
      <c r="L125" s="33">
        <f>SUM(K126:K127)</f>
        <v>0</v>
      </c>
      <c r="M125" s="44">
        <f>VLOOKUP(A125,PLANILHA!A:N,4,FALSE)</f>
        <v>65.7</v>
      </c>
      <c r="N125" s="48">
        <f>VLOOKUP(A125,PLANILHA!A:N,7,FALSE)</f>
        <v>65.7</v>
      </c>
      <c r="O125" s="63"/>
    </row>
    <row r="126" spans="1:123" x14ac:dyDescent="0.2">
      <c r="A126" s="100"/>
      <c r="B126" s="78"/>
      <c r="C126" s="36"/>
      <c r="D126" s="37"/>
      <c r="E126" s="37"/>
      <c r="F126" s="37"/>
      <c r="G126" s="37"/>
      <c r="H126" s="37"/>
      <c r="I126" s="37"/>
      <c r="J126" s="37"/>
      <c r="K126" s="37"/>
      <c r="L126" s="37"/>
      <c r="M126" s="38"/>
      <c r="N126" s="54"/>
      <c r="O126" s="63"/>
    </row>
    <row r="127" spans="1:123" x14ac:dyDescent="0.2">
      <c r="A127" s="101"/>
      <c r="B127" s="77"/>
      <c r="C127" s="39"/>
      <c r="D127" s="40"/>
      <c r="E127" s="40"/>
      <c r="F127" s="40"/>
      <c r="G127" s="40"/>
      <c r="H127" s="40"/>
      <c r="I127" s="40"/>
      <c r="J127" s="40"/>
      <c r="K127" s="40"/>
      <c r="L127" s="40"/>
      <c r="M127" s="41"/>
      <c r="N127" s="54"/>
      <c r="O127" s="63"/>
    </row>
    <row r="128" spans="1:123" ht="33.75" x14ac:dyDescent="0.2">
      <c r="A128" s="103" t="str">
        <f>PLANILHA!A53</f>
        <v xml:space="preserve">8.2 </v>
      </c>
      <c r="B128" s="76" t="str">
        <f>VLOOKUP(A128,PLANILHA!A:N,2,FALSE)</f>
        <v>JOELHO 90 GRAUS, PVC, SERIE R, ÁGUA PLUVIAL, DN 100 MM, JUNTA ELÁSTICA, FORNECIDO E INSTALADO EM CONDUTORES VERTICAIS DE ÁGUAS PLUVIAIS. AF_06/2022</v>
      </c>
      <c r="C128" s="46" t="str">
        <f>VLOOKUP(A128,PLANILHA!A:N,3,FALSE)</f>
        <v>UN</v>
      </c>
      <c r="D128" s="47"/>
      <c r="E128" s="47"/>
      <c r="F128" s="47"/>
      <c r="G128" s="47"/>
      <c r="H128" s="47"/>
      <c r="I128" s="47"/>
      <c r="J128" s="47"/>
      <c r="K128" s="47"/>
      <c r="L128" s="33">
        <f>SUM(K129:K129)</f>
        <v>0</v>
      </c>
      <c r="M128" s="44">
        <f>VLOOKUP(A128,PLANILHA!A:N,4,FALSE)</f>
        <v>42</v>
      </c>
      <c r="N128" s="48">
        <f>VLOOKUP(A128,PLANILHA!A:N,7,FALSE)</f>
        <v>42</v>
      </c>
      <c r="O128" s="63"/>
    </row>
    <row r="129" spans="1:123" x14ac:dyDescent="0.2">
      <c r="A129" s="100"/>
      <c r="B129" s="78"/>
      <c r="C129" s="36"/>
      <c r="D129" s="37"/>
      <c r="E129" s="37"/>
      <c r="F129" s="37"/>
      <c r="G129" s="37"/>
      <c r="H129" s="37"/>
      <c r="I129" s="37"/>
      <c r="J129" s="37"/>
      <c r="K129" s="37"/>
      <c r="L129" s="37"/>
      <c r="M129" s="38"/>
      <c r="N129" s="54"/>
      <c r="O129" s="63"/>
    </row>
    <row r="130" spans="1:123" x14ac:dyDescent="0.2">
      <c r="A130" s="101"/>
      <c r="B130" s="77"/>
      <c r="C130" s="39"/>
      <c r="D130" s="40"/>
      <c r="E130" s="40"/>
      <c r="F130" s="40"/>
      <c r="G130" s="40"/>
      <c r="H130" s="40"/>
      <c r="I130" s="40"/>
      <c r="J130" s="40"/>
      <c r="K130" s="40"/>
      <c r="L130" s="40"/>
      <c r="M130" s="41"/>
      <c r="N130" s="54"/>
      <c r="O130" s="63"/>
    </row>
    <row r="131" spans="1:123" ht="22.5" x14ac:dyDescent="0.2">
      <c r="A131" s="103" t="str">
        <f>PLANILHA!A54</f>
        <v xml:space="preserve">8.3 </v>
      </c>
      <c r="B131" s="76" t="str">
        <f>VLOOKUP(A131,PLANILHA!A:N,2,FALSE)</f>
        <v>TUBO PVC, SÉRIE R, ÁGUA PLUVIAL, DN 100 MM, FORNECIDO E INSTALADO EM CONDUTORES VERTICAIS DE ÁGUAS PLUVIAIS. AF_06/2022</v>
      </c>
      <c r="C131" s="46" t="str">
        <f>VLOOKUP(A131,PLANILHA!A:N,3,FALSE)</f>
        <v>M</v>
      </c>
      <c r="D131" s="47"/>
      <c r="E131" s="47"/>
      <c r="F131" s="47"/>
      <c r="G131" s="47"/>
      <c r="H131" s="47"/>
      <c r="I131" s="47"/>
      <c r="J131" s="47"/>
      <c r="K131" s="47"/>
      <c r="L131" s="33">
        <f>SUM(K132:K133)</f>
        <v>0</v>
      </c>
      <c r="M131" s="44">
        <f>VLOOKUP(A131,PLANILHA!A:N,4,FALSE)</f>
        <v>70</v>
      </c>
      <c r="N131" s="48">
        <f>VLOOKUP(A131,PLANILHA!A:N,7,FALSE)</f>
        <v>70</v>
      </c>
      <c r="O131" s="63"/>
    </row>
    <row r="132" spans="1:123" x14ac:dyDescent="0.2">
      <c r="A132" s="100"/>
      <c r="B132" s="78"/>
      <c r="C132" s="36"/>
      <c r="D132" s="37"/>
      <c r="E132" s="37"/>
      <c r="F132" s="37"/>
      <c r="G132" s="37"/>
      <c r="H132" s="37"/>
      <c r="I132" s="37"/>
      <c r="J132" s="37"/>
      <c r="K132" s="37"/>
      <c r="L132" s="37"/>
      <c r="M132" s="38"/>
      <c r="N132" s="54"/>
      <c r="O132" s="63"/>
    </row>
    <row r="133" spans="1:123" x14ac:dyDescent="0.2">
      <c r="A133" s="101"/>
      <c r="B133" s="77"/>
      <c r="C133" s="39"/>
      <c r="D133" s="40"/>
      <c r="E133" s="40"/>
      <c r="F133" s="40"/>
      <c r="G133" s="40"/>
      <c r="H133" s="40"/>
      <c r="I133" s="40"/>
      <c r="J133" s="40"/>
      <c r="K133" s="40"/>
      <c r="L133" s="40"/>
      <c r="M133" s="41"/>
      <c r="N133" s="54"/>
      <c r="O133" s="63"/>
    </row>
    <row r="134" spans="1:123" ht="22.5" x14ac:dyDescent="0.2">
      <c r="A134" s="103" t="str">
        <f>PLANILHA!A55</f>
        <v xml:space="preserve">8.4 </v>
      </c>
      <c r="B134" s="76" t="str">
        <f>VLOOKUP(A134,PLANILHA!A:N,2,FALSE)</f>
        <v>TUBO PVC, SÉRIE R, ÁGUA PLUVIAL, DN 100 MM, FORNECIDO E INSTALADO EM RAMAL DE ENCAMINHAMENTO. AF_06/2022</v>
      </c>
      <c r="C134" s="46" t="str">
        <f>VLOOKUP(A134,PLANILHA!A:N,3,FALSE)</f>
        <v>M</v>
      </c>
      <c r="D134" s="47"/>
      <c r="E134" s="47"/>
      <c r="F134" s="47"/>
      <c r="G134" s="47"/>
      <c r="H134" s="47"/>
      <c r="I134" s="47"/>
      <c r="J134" s="47"/>
      <c r="K134" s="47"/>
      <c r="L134" s="33">
        <f>SUM(K135:K136)</f>
        <v>0</v>
      </c>
      <c r="M134" s="44">
        <f>VLOOKUP(A134,PLANILHA!A:N,4,FALSE)</f>
        <v>7</v>
      </c>
      <c r="N134" s="48">
        <f>VLOOKUP(A134,PLANILHA!A:N,7,FALSE)</f>
        <v>7</v>
      </c>
      <c r="O134" s="63"/>
    </row>
    <row r="135" spans="1:123" x14ac:dyDescent="0.2">
      <c r="A135" s="100"/>
      <c r="B135" s="78"/>
      <c r="C135" s="36"/>
      <c r="D135" s="37"/>
      <c r="E135" s="37"/>
      <c r="F135" s="37"/>
      <c r="G135" s="37"/>
      <c r="H135" s="37"/>
      <c r="I135" s="37"/>
      <c r="J135" s="37"/>
      <c r="K135" s="37"/>
      <c r="L135" s="37"/>
      <c r="M135" s="38"/>
      <c r="N135" s="54"/>
      <c r="O135" s="63"/>
    </row>
    <row r="136" spans="1:123" x14ac:dyDescent="0.2">
      <c r="A136" s="101"/>
      <c r="B136" s="77"/>
      <c r="C136" s="39"/>
      <c r="D136" s="40"/>
      <c r="E136" s="40"/>
      <c r="F136" s="40"/>
      <c r="G136" s="40"/>
      <c r="H136" s="40"/>
      <c r="I136" s="40"/>
      <c r="J136" s="40"/>
      <c r="K136" s="40"/>
      <c r="L136" s="40"/>
      <c r="M136" s="41"/>
      <c r="N136" s="54"/>
      <c r="O136" s="63"/>
    </row>
    <row r="137" spans="1:123" s="35" customFormat="1" x14ac:dyDescent="0.2">
      <c r="A137" s="93">
        <f>PLANILHA!A56</f>
        <v>9</v>
      </c>
      <c r="B137" s="71" t="str">
        <f>PLANILHA!B56</f>
        <v>PAVIMENTAÇÃO</v>
      </c>
      <c r="C137" s="49"/>
      <c r="D137" s="50"/>
      <c r="E137" s="50"/>
      <c r="F137" s="50"/>
      <c r="G137" s="50"/>
      <c r="H137" s="50"/>
      <c r="I137" s="50"/>
      <c r="J137" s="50"/>
      <c r="K137" s="50"/>
      <c r="L137" s="50"/>
      <c r="M137" s="51"/>
      <c r="N137" s="52"/>
      <c r="O137" s="62" t="s">
        <v>114</v>
      </c>
      <c r="P137" s="31"/>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27"/>
      <c r="AZ137" s="27"/>
      <c r="BA137" s="27"/>
      <c r="BB137" s="27"/>
      <c r="BC137" s="27"/>
      <c r="BD137" s="27"/>
      <c r="BE137" s="27"/>
      <c r="BF137" s="27"/>
      <c r="BG137" s="27"/>
      <c r="BH137" s="27"/>
      <c r="BI137" s="27"/>
      <c r="BJ137" s="27"/>
      <c r="BK137" s="27"/>
      <c r="BL137" s="27"/>
      <c r="BM137" s="27"/>
      <c r="BN137" s="27"/>
      <c r="BO137" s="27"/>
      <c r="BP137" s="27"/>
      <c r="BQ137" s="27"/>
      <c r="BR137" s="27"/>
      <c r="BS137" s="27"/>
      <c r="BT137" s="27"/>
      <c r="BU137" s="27"/>
      <c r="BV137" s="27"/>
      <c r="BW137" s="27"/>
      <c r="BX137" s="27"/>
      <c r="BY137" s="27"/>
      <c r="BZ137" s="27"/>
      <c r="CA137" s="27"/>
      <c r="CB137" s="27"/>
      <c r="CC137" s="27"/>
      <c r="CD137" s="27"/>
      <c r="CE137" s="27"/>
      <c r="CF137" s="27"/>
      <c r="CG137" s="27"/>
      <c r="CH137" s="27"/>
      <c r="CI137" s="27"/>
      <c r="CJ137" s="27"/>
      <c r="CK137" s="27"/>
      <c r="CL137" s="27"/>
      <c r="CM137" s="27"/>
      <c r="CN137" s="27"/>
      <c r="CO137" s="27"/>
      <c r="CP137" s="27"/>
      <c r="CQ137" s="27"/>
      <c r="CR137" s="27"/>
      <c r="CS137" s="27"/>
      <c r="CT137" s="27"/>
      <c r="CU137" s="27"/>
      <c r="CV137" s="27"/>
      <c r="CW137" s="27"/>
      <c r="CX137" s="27"/>
      <c r="CY137" s="27"/>
      <c r="CZ137" s="27"/>
      <c r="DA137" s="27"/>
      <c r="DB137" s="27"/>
      <c r="DC137" s="27"/>
      <c r="DD137" s="27"/>
      <c r="DE137" s="27"/>
      <c r="DF137" s="27"/>
      <c r="DG137" s="27"/>
      <c r="DH137" s="27"/>
      <c r="DI137" s="27"/>
      <c r="DJ137" s="27"/>
      <c r="DK137" s="27"/>
      <c r="DL137" s="27"/>
      <c r="DM137" s="27"/>
      <c r="DN137" s="27"/>
      <c r="DO137" s="27"/>
      <c r="DP137" s="27"/>
      <c r="DQ137" s="27"/>
      <c r="DR137" s="27"/>
      <c r="DS137" s="27"/>
    </row>
    <row r="138" spans="1:123" ht="22.5" x14ac:dyDescent="0.2">
      <c r="A138" s="103" t="str">
        <f>PLANILHA!A57</f>
        <v xml:space="preserve">9.1 </v>
      </c>
      <c r="B138" s="76" t="str">
        <f>VLOOKUP(A138,PLANILHA!A:N,2,FALSE)</f>
        <v>LASTRO DE CONCRETO MAGRO, APLICADO EM PISOS, LAJES SOBRE SOLO OU RADIERS. AF_01/2024</v>
      </c>
      <c r="C138" s="46" t="str">
        <f>VLOOKUP(A138,PLANILHA!A:N,3,FALSE)</f>
        <v>m³</v>
      </c>
      <c r="D138" s="47"/>
      <c r="E138" s="47"/>
      <c r="F138" s="47"/>
      <c r="G138" s="47"/>
      <c r="H138" s="47"/>
      <c r="I138" s="47"/>
      <c r="J138" s="47"/>
      <c r="K138" s="47"/>
      <c r="L138" s="33">
        <f>SUM(K139:K140)</f>
        <v>0</v>
      </c>
      <c r="M138" s="44">
        <f>VLOOKUP(A138,PLANILHA!A:N,4,FALSE)</f>
        <v>1.86</v>
      </c>
      <c r="N138" s="45">
        <f>VLOOKUP(A138,PLANILHA!A:N,7,FALSE)</f>
        <v>0.71</v>
      </c>
      <c r="O138" s="63" t="s">
        <v>114</v>
      </c>
    </row>
    <row r="139" spans="1:123" s="31" customFormat="1" x14ac:dyDescent="0.2">
      <c r="A139" s="100"/>
      <c r="B139" s="78"/>
      <c r="C139" s="36"/>
      <c r="D139" s="37"/>
      <c r="E139" s="37"/>
      <c r="F139" s="37"/>
      <c r="G139" s="37"/>
      <c r="H139" s="37"/>
      <c r="I139" s="37"/>
      <c r="J139" s="37"/>
      <c r="K139" s="37"/>
      <c r="L139" s="37"/>
      <c r="M139" s="38"/>
      <c r="N139" s="54"/>
      <c r="O139" s="63" t="s">
        <v>114</v>
      </c>
    </row>
    <row r="140" spans="1:123" s="31" customFormat="1" x14ac:dyDescent="0.2">
      <c r="A140" s="101"/>
      <c r="B140" s="257"/>
      <c r="C140" s="42"/>
      <c r="D140" s="84"/>
      <c r="E140" s="84"/>
      <c r="F140" s="84"/>
      <c r="G140" s="85"/>
      <c r="H140" s="84"/>
      <c r="I140" s="84"/>
      <c r="J140" s="84"/>
      <c r="K140" s="84"/>
      <c r="L140" s="40"/>
      <c r="M140" s="41"/>
      <c r="N140" s="54"/>
      <c r="O140" s="63"/>
    </row>
    <row r="141" spans="1:123" ht="22.5" x14ac:dyDescent="0.2">
      <c r="A141" s="102" t="str">
        <f>PLANILHA!A58</f>
        <v xml:space="preserve">9.2 </v>
      </c>
      <c r="B141" s="75" t="str">
        <f>VLOOKUP(A141,PLANILHA!A:N,2,FALSE)</f>
        <v>PISO CIMENTADO, TRAÇO 1:3 (CIMENTO E AREIA), ACABAMENTO RÚSTICO, ESPESSURA 3,0 CM, PREPARO MECÂNICO DA ARGAMASSA. AF_09/2020</v>
      </c>
      <c r="C141" s="32" t="str">
        <f>VLOOKUP(A141,PLANILHA!A:N,3,FALSE)</f>
        <v>m²</v>
      </c>
      <c r="D141" s="33"/>
      <c r="E141" s="33"/>
      <c r="F141" s="33"/>
      <c r="G141" s="33"/>
      <c r="H141" s="33"/>
      <c r="I141" s="33"/>
      <c r="J141" s="33"/>
      <c r="K141" s="33"/>
      <c r="L141" s="33">
        <f>SUM(K142:K143)</f>
        <v>0</v>
      </c>
      <c r="M141" s="34">
        <f>VLOOKUP(A141,PLANILHA!A:N,4,FALSE)</f>
        <v>31.85</v>
      </c>
      <c r="N141" s="48">
        <f>VLOOKUP(A141,PLANILHA!A:N,7,FALSE)</f>
        <v>1.92</v>
      </c>
      <c r="O141" s="63" t="s">
        <v>114</v>
      </c>
    </row>
    <row r="142" spans="1:123" s="31" customFormat="1" x14ac:dyDescent="0.2">
      <c r="A142" s="100"/>
      <c r="B142" s="78"/>
      <c r="C142" s="36"/>
      <c r="D142" s="37"/>
      <c r="E142" s="37"/>
      <c r="F142" s="37"/>
      <c r="G142" s="37"/>
      <c r="H142" s="37"/>
      <c r="I142" s="37"/>
      <c r="J142" s="37"/>
      <c r="K142" s="37"/>
      <c r="L142" s="37"/>
      <c r="M142" s="38"/>
      <c r="N142" s="54"/>
      <c r="O142" s="63" t="s">
        <v>114</v>
      </c>
    </row>
    <row r="143" spans="1:123" s="31" customFormat="1" x14ac:dyDescent="0.2">
      <c r="A143" s="101"/>
      <c r="B143" s="77"/>
      <c r="C143" s="39"/>
      <c r="D143" s="40"/>
      <c r="E143" s="40"/>
      <c r="F143" s="40"/>
      <c r="G143" s="40"/>
      <c r="H143" s="40"/>
      <c r="I143" s="40"/>
      <c r="J143" s="40"/>
      <c r="K143" s="40"/>
      <c r="L143" s="40"/>
      <c r="M143" s="41"/>
      <c r="N143" s="54"/>
      <c r="O143" s="63"/>
    </row>
    <row r="144" spans="1:123" s="35" customFormat="1" x14ac:dyDescent="0.2">
      <c r="A144" s="93">
        <f>PLANILHA!A59</f>
        <v>10</v>
      </c>
      <c r="B144" s="71" t="str">
        <f>PLANILHA!B59</f>
        <v>REVESTIMENTOS</v>
      </c>
      <c r="C144" s="49"/>
      <c r="D144" s="50"/>
      <c r="E144" s="50"/>
      <c r="F144" s="50"/>
      <c r="G144" s="50"/>
      <c r="H144" s="50"/>
      <c r="I144" s="50"/>
      <c r="J144" s="50"/>
      <c r="K144" s="50"/>
      <c r="L144" s="50"/>
      <c r="M144" s="51"/>
      <c r="N144" s="52"/>
      <c r="O144" s="62" t="s">
        <v>114</v>
      </c>
      <c r="P144" s="31"/>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c r="AV144" s="27"/>
      <c r="AW144" s="27"/>
      <c r="AX144" s="27"/>
      <c r="AY144" s="27"/>
      <c r="AZ144" s="27"/>
      <c r="BA144" s="27"/>
      <c r="BB144" s="27"/>
      <c r="BC144" s="27"/>
      <c r="BD144" s="27"/>
      <c r="BE144" s="27"/>
      <c r="BF144" s="27"/>
      <c r="BG144" s="27"/>
      <c r="BH144" s="27"/>
      <c r="BI144" s="27"/>
      <c r="BJ144" s="27"/>
      <c r="BK144" s="27"/>
      <c r="BL144" s="27"/>
      <c r="BM144" s="27"/>
      <c r="BN144" s="27"/>
      <c r="BO144" s="27"/>
      <c r="BP144" s="27"/>
      <c r="BQ144" s="27"/>
      <c r="BR144" s="27"/>
      <c r="BS144" s="27"/>
      <c r="BT144" s="27"/>
      <c r="BU144" s="27"/>
      <c r="BV144" s="27"/>
      <c r="BW144" s="27"/>
      <c r="BX144" s="27"/>
      <c r="BY144" s="27"/>
      <c r="BZ144" s="27"/>
      <c r="CA144" s="27"/>
      <c r="CB144" s="27"/>
      <c r="CC144" s="27"/>
      <c r="CD144" s="27"/>
      <c r="CE144" s="27"/>
      <c r="CF144" s="27"/>
      <c r="CG144" s="27"/>
      <c r="CH144" s="27"/>
      <c r="CI144" s="27"/>
      <c r="CJ144" s="27"/>
      <c r="CK144" s="27"/>
      <c r="CL144" s="27"/>
      <c r="CM144" s="27"/>
      <c r="CN144" s="27"/>
      <c r="CO144" s="27"/>
      <c r="CP144" s="27"/>
      <c r="CQ144" s="27"/>
      <c r="CR144" s="27"/>
      <c r="CS144" s="27"/>
      <c r="CT144" s="27"/>
      <c r="CU144" s="27"/>
      <c r="CV144" s="27"/>
      <c r="CW144" s="27"/>
      <c r="CX144" s="27"/>
      <c r="CY144" s="27"/>
      <c r="CZ144" s="27"/>
      <c r="DA144" s="27"/>
      <c r="DB144" s="27"/>
      <c r="DC144" s="27"/>
      <c r="DD144" s="27"/>
      <c r="DE144" s="27"/>
      <c r="DF144" s="27"/>
      <c r="DG144" s="27"/>
      <c r="DH144" s="27"/>
      <c r="DI144" s="27"/>
      <c r="DJ144" s="27"/>
      <c r="DK144" s="27"/>
      <c r="DL144" s="27"/>
      <c r="DM144" s="27"/>
      <c r="DN144" s="27"/>
      <c r="DO144" s="27"/>
      <c r="DP144" s="27"/>
      <c r="DQ144" s="27"/>
      <c r="DR144" s="27"/>
      <c r="DS144" s="27"/>
    </row>
    <row r="145" spans="1:15" ht="33.75" x14ac:dyDescent="0.2">
      <c r="A145" s="103" t="str">
        <f>PLANILHA!A60</f>
        <v>10.1</v>
      </c>
      <c r="B145" s="76" t="str">
        <f>VLOOKUP(A145,PLANILHA!A:N,2,FALSE)</f>
        <v>CHAPISCO APLICADO EM ALVENARIA (SEM PRESENÇA DE VÃOS) E ESTRUTURAS DE CONCRETO DE FACHADA, COM COLHER DE PEDREIRO. ARGAMASSA TRAÇO 1:3 COM PREPARO EM BETONEIRA 400L. AF_10/2022</v>
      </c>
      <c r="C145" s="46" t="str">
        <f>VLOOKUP(A145,PLANILHA!A:N,3,FALSE)</f>
        <v>m²</v>
      </c>
      <c r="D145" s="47"/>
      <c r="E145" s="47"/>
      <c r="F145" s="47"/>
      <c r="G145" s="47"/>
      <c r="H145" s="47"/>
      <c r="I145" s="47"/>
      <c r="J145" s="47"/>
      <c r="K145" s="47"/>
      <c r="L145" s="33">
        <f>SUM(K146:K152)</f>
        <v>33.159999999999997</v>
      </c>
      <c r="M145" s="44">
        <f>VLOOKUP(A145,PLANILHA!A:N,4,FALSE)</f>
        <v>33.25</v>
      </c>
      <c r="N145" s="45">
        <f>VLOOKUP(A145,PLANILHA!A:N,7,FALSE)</f>
        <v>0.09</v>
      </c>
      <c r="O145" s="63" t="s">
        <v>114</v>
      </c>
    </row>
    <row r="146" spans="1:15" x14ac:dyDescent="0.2">
      <c r="A146" s="100"/>
      <c r="B146" s="78"/>
      <c r="C146" s="36"/>
      <c r="D146" s="37"/>
      <c r="E146" s="37"/>
      <c r="F146" s="37"/>
      <c r="G146" s="37"/>
      <c r="H146" s="37"/>
      <c r="I146" s="37"/>
      <c r="J146" s="37"/>
      <c r="K146" s="37"/>
      <c r="L146" s="37"/>
      <c r="M146" s="38"/>
      <c r="N146" s="54"/>
      <c r="O146" s="63" t="s">
        <v>114</v>
      </c>
    </row>
    <row r="147" spans="1:15" s="31" customFormat="1" ht="22.5" x14ac:dyDescent="0.2">
      <c r="A147" s="302" t="s">
        <v>225</v>
      </c>
      <c r="B147" s="73" t="s">
        <v>223</v>
      </c>
      <c r="C147" s="42"/>
      <c r="D147" s="84">
        <v>1.2</v>
      </c>
      <c r="E147" s="84">
        <v>1.2</v>
      </c>
      <c r="F147" s="84"/>
      <c r="G147" s="84"/>
      <c r="H147" s="84"/>
      <c r="I147" s="84">
        <v>8</v>
      </c>
      <c r="J147" s="84"/>
      <c r="K147" s="84">
        <f>D147*E147*I147</f>
        <v>11.52</v>
      </c>
      <c r="L147" s="85"/>
      <c r="M147" s="43"/>
      <c r="N147" s="54"/>
      <c r="O147" s="63"/>
    </row>
    <row r="148" spans="1:15" s="31" customFormat="1" ht="22.5" x14ac:dyDescent="0.2">
      <c r="A148" s="302"/>
      <c r="B148" s="74" t="s">
        <v>224</v>
      </c>
      <c r="C148" s="42"/>
      <c r="D148" s="84">
        <v>2</v>
      </c>
      <c r="E148" s="84"/>
      <c r="F148" s="84">
        <v>1.2</v>
      </c>
      <c r="G148" s="84"/>
      <c r="H148" s="84"/>
      <c r="I148" s="84">
        <v>8</v>
      </c>
      <c r="J148" s="84"/>
      <c r="K148" s="84">
        <f>D148*F148*I148</f>
        <v>19.2</v>
      </c>
      <c r="L148" s="85"/>
      <c r="M148" s="43"/>
      <c r="N148" s="54"/>
      <c r="O148" s="63"/>
    </row>
    <row r="149" spans="1:15" s="31" customFormat="1" x14ac:dyDescent="0.2">
      <c r="A149" s="302"/>
      <c r="B149" s="74"/>
      <c r="C149" s="42"/>
      <c r="D149" s="84"/>
      <c r="E149" s="84"/>
      <c r="F149" s="84"/>
      <c r="G149" s="84"/>
      <c r="H149" s="84"/>
      <c r="I149" s="84"/>
      <c r="J149" s="84"/>
      <c r="K149" s="84"/>
      <c r="L149" s="85"/>
      <c r="M149" s="43"/>
      <c r="N149" s="54"/>
      <c r="O149" s="63"/>
    </row>
    <row r="150" spans="1:15" s="31" customFormat="1" ht="22.5" x14ac:dyDescent="0.2">
      <c r="A150" s="302"/>
      <c r="B150" s="73" t="s">
        <v>228</v>
      </c>
      <c r="C150" s="42"/>
      <c r="D150" s="84">
        <v>1.2</v>
      </c>
      <c r="E150" s="84">
        <v>0.9</v>
      </c>
      <c r="F150" s="84"/>
      <c r="G150" s="84"/>
      <c r="H150" s="84"/>
      <c r="I150" s="84">
        <v>1</v>
      </c>
      <c r="J150" s="84"/>
      <c r="K150" s="84">
        <f>TRUNC(D150*E150*I150,1)</f>
        <v>1</v>
      </c>
      <c r="L150" s="85"/>
      <c r="M150" s="43"/>
      <c r="N150" s="54"/>
      <c r="O150" s="63"/>
    </row>
    <row r="151" spans="1:15" s="31" customFormat="1" ht="22.5" x14ac:dyDescent="0.2">
      <c r="A151" s="302"/>
      <c r="B151" s="73" t="s">
        <v>229</v>
      </c>
      <c r="C151" s="42"/>
      <c r="D151" s="84">
        <v>1.2</v>
      </c>
      <c r="E151" s="84"/>
      <c r="F151" s="84">
        <v>1.2</v>
      </c>
      <c r="G151" s="84"/>
      <c r="H151" s="84"/>
      <c r="I151" s="84">
        <v>1</v>
      </c>
      <c r="J151" s="84"/>
      <c r="K151" s="84">
        <f>TRUNC(D151*F151*I151,2)</f>
        <v>1.44</v>
      </c>
      <c r="L151" s="43"/>
      <c r="M151" s="43"/>
      <c r="N151" s="54"/>
      <c r="O151" s="63"/>
    </row>
    <row r="152" spans="1:15" s="31" customFormat="1" x14ac:dyDescent="0.2">
      <c r="A152" s="101"/>
      <c r="B152" s="77"/>
      <c r="C152" s="39"/>
      <c r="D152" s="40"/>
      <c r="E152" s="40"/>
      <c r="F152" s="40"/>
      <c r="G152" s="40"/>
      <c r="H152" s="40"/>
      <c r="I152" s="40"/>
      <c r="J152" s="40"/>
      <c r="K152" s="40"/>
      <c r="L152" s="40"/>
      <c r="M152" s="41"/>
      <c r="N152" s="54"/>
      <c r="O152" s="63"/>
    </row>
    <row r="153" spans="1:15" ht="33.75" x14ac:dyDescent="0.2">
      <c r="A153" s="102" t="str">
        <f>PLANILHA!A61</f>
        <v>10.2</v>
      </c>
      <c r="B153" s="75" t="str">
        <f>VLOOKUP(A153,PLANILHA!A:N,2,FALSE)</f>
        <v>EMBOÇO OU MASSA ÚNICA EM ARGAMASSA TRAÇO 1:2:8, PREPARO MECÂNICO COM BETONEIRA 400 L, APLICADA MANUALMENTE EM PANOS DE FACHADA COM PRESENÇA DE VÃOS, ESPESSURA DE 25 MM. AF_08/2022</v>
      </c>
      <c r="C153" s="32" t="str">
        <f>VLOOKUP(A153,PLANILHA!A:N,3,FALSE)</f>
        <v>m²</v>
      </c>
      <c r="D153" s="33"/>
      <c r="E153" s="33"/>
      <c r="F153" s="33"/>
      <c r="G153" s="33"/>
      <c r="H153" s="33"/>
      <c r="I153" s="33"/>
      <c r="J153" s="33"/>
      <c r="K153" s="33"/>
      <c r="L153" s="33">
        <f>SUM(K154:K160)</f>
        <v>33.159999999999997</v>
      </c>
      <c r="M153" s="34">
        <f>VLOOKUP(A153,PLANILHA!A:N,4,FALSE)</f>
        <v>33.25</v>
      </c>
      <c r="N153" s="48">
        <f>VLOOKUP(A153,PLANILHA!A:N,7,FALSE)</f>
        <v>0.09</v>
      </c>
      <c r="O153" s="63" t="s">
        <v>114</v>
      </c>
    </row>
    <row r="154" spans="1:15" s="31" customFormat="1" x14ac:dyDescent="0.2">
      <c r="A154" s="100"/>
      <c r="B154" s="78"/>
      <c r="C154" s="36"/>
      <c r="D154" s="37"/>
      <c r="E154" s="37"/>
      <c r="F154" s="37"/>
      <c r="G154" s="37"/>
      <c r="H154" s="37"/>
      <c r="I154" s="37"/>
      <c r="J154" s="37"/>
      <c r="K154" s="37"/>
      <c r="L154" s="37"/>
      <c r="M154" s="38"/>
      <c r="N154" s="54"/>
      <c r="O154" s="63" t="s">
        <v>114</v>
      </c>
    </row>
    <row r="155" spans="1:15" s="31" customFormat="1" ht="22.5" x14ac:dyDescent="0.2">
      <c r="A155" s="302" t="s">
        <v>225</v>
      </c>
      <c r="B155" s="73" t="s">
        <v>223</v>
      </c>
      <c r="C155" s="42"/>
      <c r="D155" s="84">
        <v>1.2</v>
      </c>
      <c r="E155" s="84">
        <v>1.2</v>
      </c>
      <c r="F155" s="84"/>
      <c r="G155" s="84"/>
      <c r="H155" s="84"/>
      <c r="I155" s="84">
        <v>8</v>
      </c>
      <c r="J155" s="84"/>
      <c r="K155" s="84">
        <f>D155*E155*I155</f>
        <v>11.52</v>
      </c>
      <c r="L155" s="85"/>
      <c r="M155" s="43"/>
      <c r="N155" s="54"/>
      <c r="O155" s="63"/>
    </row>
    <row r="156" spans="1:15" s="31" customFormat="1" ht="22.5" x14ac:dyDescent="0.2">
      <c r="A156" s="302"/>
      <c r="B156" s="74" t="s">
        <v>224</v>
      </c>
      <c r="C156" s="42"/>
      <c r="D156" s="84">
        <v>2</v>
      </c>
      <c r="E156" s="84"/>
      <c r="F156" s="84">
        <v>1.2</v>
      </c>
      <c r="G156" s="84"/>
      <c r="H156" s="84"/>
      <c r="I156" s="84">
        <v>8</v>
      </c>
      <c r="J156" s="84"/>
      <c r="K156" s="84">
        <f>D156*F156*I156</f>
        <v>19.2</v>
      </c>
      <c r="L156" s="85"/>
      <c r="M156" s="43"/>
      <c r="N156" s="54"/>
      <c r="O156" s="63"/>
    </row>
    <row r="157" spans="1:15" s="31" customFormat="1" x14ac:dyDescent="0.2">
      <c r="A157" s="302"/>
      <c r="B157" s="74"/>
      <c r="C157" s="42"/>
      <c r="D157" s="84"/>
      <c r="E157" s="84"/>
      <c r="F157" s="84"/>
      <c r="G157" s="84"/>
      <c r="H157" s="84"/>
      <c r="I157" s="84"/>
      <c r="J157" s="84"/>
      <c r="K157" s="84"/>
      <c r="L157" s="85"/>
      <c r="M157" s="43"/>
      <c r="N157" s="54"/>
      <c r="O157" s="63"/>
    </row>
    <row r="158" spans="1:15" s="31" customFormat="1" ht="22.5" x14ac:dyDescent="0.2">
      <c r="A158" s="302"/>
      <c r="B158" s="73" t="s">
        <v>228</v>
      </c>
      <c r="C158" s="42"/>
      <c r="D158" s="84">
        <v>1.2</v>
      </c>
      <c r="E158" s="84">
        <v>0.9</v>
      </c>
      <c r="F158" s="84"/>
      <c r="G158" s="84"/>
      <c r="H158" s="84"/>
      <c r="I158" s="84">
        <v>1</v>
      </c>
      <c r="J158" s="84"/>
      <c r="K158" s="84">
        <f>TRUNC(D158*E158*I158,1)</f>
        <v>1</v>
      </c>
      <c r="L158" s="85"/>
      <c r="M158" s="43"/>
      <c r="N158" s="54"/>
      <c r="O158" s="63"/>
    </row>
    <row r="159" spans="1:15" s="31" customFormat="1" ht="22.5" x14ac:dyDescent="0.2">
      <c r="A159" s="302"/>
      <c r="B159" s="73" t="s">
        <v>229</v>
      </c>
      <c r="C159" s="42"/>
      <c r="D159" s="84">
        <v>1.2</v>
      </c>
      <c r="E159" s="84"/>
      <c r="F159" s="84">
        <v>1.2</v>
      </c>
      <c r="G159" s="84"/>
      <c r="H159" s="84"/>
      <c r="I159" s="84">
        <v>1</v>
      </c>
      <c r="J159" s="84"/>
      <c r="K159" s="84">
        <f>TRUNC(D159*F159*I159,2)</f>
        <v>1.44</v>
      </c>
      <c r="L159" s="43"/>
      <c r="M159" s="43"/>
      <c r="N159" s="54"/>
      <c r="O159" s="63"/>
    </row>
    <row r="160" spans="1:15" x14ac:dyDescent="0.2">
      <c r="A160" s="101"/>
      <c r="B160" s="77"/>
      <c r="C160" s="39"/>
      <c r="D160" s="40"/>
      <c r="E160" s="40"/>
      <c r="F160" s="40"/>
      <c r="G160" s="40"/>
      <c r="H160" s="40"/>
      <c r="I160" s="40"/>
      <c r="J160" s="40"/>
      <c r="K160" s="40"/>
      <c r="L160" s="40"/>
      <c r="M160" s="41"/>
      <c r="N160" s="45"/>
      <c r="O160" s="63"/>
    </row>
    <row r="161" spans="1:123" s="259" customFormat="1" ht="12.75" x14ac:dyDescent="0.2">
      <c r="A161" s="105">
        <f>'[7]1ª READEQUAÇÃO'!A61</f>
        <v>11</v>
      </c>
      <c r="B161" s="79" t="str">
        <f>VLOOKUP(A161,'[7]1ª READEQUAÇÃO'!A:N,2,FALSE)</f>
        <v>PINTURA</v>
      </c>
      <c r="C161" s="55">
        <f>VLOOKUP(A161,'[7]1ª READEQUAÇÃO'!A:N,3,FALSE)</f>
        <v>0</v>
      </c>
      <c r="D161" s="56"/>
      <c r="E161" s="56"/>
      <c r="F161" s="56"/>
      <c r="G161" s="56"/>
      <c r="H161" s="56"/>
      <c r="I161" s="56"/>
      <c r="J161" s="56"/>
      <c r="K161" s="56"/>
      <c r="L161" s="56"/>
      <c r="M161" s="57"/>
      <c r="N161" s="58"/>
      <c r="O161" s="259" t="s">
        <v>114</v>
      </c>
    </row>
    <row r="162" spans="1:123" s="259" customFormat="1" ht="12.75" x14ac:dyDescent="0.2">
      <c r="A162" s="102" t="str">
        <f>'[7]1ª READEQUAÇÃO'!A62</f>
        <v xml:space="preserve">11.1 </v>
      </c>
      <c r="B162" s="75" t="str">
        <f>VLOOKUP(A162,'[7]1ª READEQUAÇÃO'!A:N,2,FALSE)</f>
        <v>CAIAÇÃO DE PAREDE COM 03 DEMÃOS. R_05/2021</v>
      </c>
      <c r="C162" s="32" t="str">
        <f>VLOOKUP(A162,'[7]1ª READEQUAÇÃO'!A:N,3,FALSE)</f>
        <v>m²</v>
      </c>
      <c r="D162" s="33"/>
      <c r="E162" s="33"/>
      <c r="F162" s="33"/>
      <c r="G162" s="33"/>
      <c r="H162" s="33"/>
      <c r="I162" s="33"/>
      <c r="J162" s="33"/>
      <c r="K162" s="33"/>
      <c r="L162" s="33">
        <f>SUM(K163:K164)</f>
        <v>0</v>
      </c>
      <c r="M162" s="34">
        <f>VLOOKUP(A162,'[7]1ª READEQUAÇÃO'!A:N,4,FALSE)</f>
        <v>33.25</v>
      </c>
      <c r="N162" s="48">
        <f>M162-L162</f>
        <v>33.25</v>
      </c>
      <c r="O162" s="259" t="s">
        <v>114</v>
      </c>
    </row>
    <row r="163" spans="1:123" s="259" customFormat="1" ht="12.75" x14ac:dyDescent="0.2">
      <c r="A163" s="260"/>
      <c r="B163" s="261"/>
      <c r="C163" s="262"/>
      <c r="D163" s="263"/>
      <c r="E163" s="263"/>
      <c r="F163" s="263"/>
      <c r="G163" s="263"/>
      <c r="H163" s="263"/>
      <c r="I163" s="263"/>
      <c r="J163" s="263"/>
      <c r="K163" s="263"/>
      <c r="L163" s="263"/>
      <c r="M163" s="264"/>
      <c r="N163" s="258"/>
      <c r="O163" s="259" t="s">
        <v>114</v>
      </c>
    </row>
    <row r="164" spans="1:123" s="259" customFormat="1" ht="12.75" x14ac:dyDescent="0.2">
      <c r="A164" s="265"/>
      <c r="B164" s="266"/>
      <c r="C164" s="267"/>
      <c r="D164" s="268"/>
      <c r="E164" s="268"/>
      <c r="F164" s="268"/>
      <c r="G164" s="268"/>
      <c r="H164" s="268"/>
      <c r="I164" s="268"/>
      <c r="J164" s="268"/>
      <c r="K164" s="268"/>
      <c r="L164" s="268"/>
      <c r="M164" s="269"/>
      <c r="N164" s="258"/>
      <c r="O164" s="259" t="s">
        <v>114</v>
      </c>
    </row>
    <row r="165" spans="1:123" s="35" customFormat="1" x14ac:dyDescent="0.2">
      <c r="A165" s="105">
        <f>PLANILHA!A64</f>
        <v>12</v>
      </c>
      <c r="B165" s="79" t="str">
        <f>PLANILHA!B64</f>
        <v>SERVIÇOS COMPLEMENTARES</v>
      </c>
      <c r="C165" s="55">
        <f>PLANILHA!C64</f>
        <v>0</v>
      </c>
      <c r="D165" s="56"/>
      <c r="E165" s="56"/>
      <c r="F165" s="56"/>
      <c r="G165" s="56"/>
      <c r="H165" s="56"/>
      <c r="I165" s="56"/>
      <c r="J165" s="56"/>
      <c r="K165" s="56"/>
      <c r="L165" s="56"/>
      <c r="M165" s="57"/>
      <c r="N165" s="58"/>
      <c r="O165" s="63" t="s">
        <v>114</v>
      </c>
      <c r="P165" s="31"/>
      <c r="Q165" s="27"/>
      <c r="R165" s="27"/>
      <c r="S165" s="27"/>
      <c r="T165" s="27"/>
      <c r="U165" s="27"/>
      <c r="V165" s="27"/>
      <c r="W165" s="27"/>
      <c r="X165" s="27"/>
      <c r="Y165" s="27"/>
      <c r="Z165" s="27"/>
      <c r="AA165" s="27"/>
      <c r="AB165" s="27"/>
      <c r="AC165" s="27"/>
      <c r="AD165" s="27"/>
      <c r="AE165" s="27"/>
      <c r="AF165" s="27"/>
      <c r="AG165" s="27"/>
      <c r="AH165" s="27"/>
      <c r="AI165" s="27"/>
      <c r="AJ165" s="27"/>
      <c r="AK165" s="27"/>
      <c r="AL165" s="27"/>
      <c r="AM165" s="27"/>
      <c r="AN165" s="27"/>
      <c r="AO165" s="27"/>
      <c r="AP165" s="27"/>
      <c r="AQ165" s="27"/>
      <c r="AR165" s="27"/>
      <c r="AS165" s="27"/>
      <c r="AT165" s="27"/>
      <c r="AU165" s="27"/>
      <c r="AV165" s="27"/>
      <c r="AW165" s="27"/>
      <c r="AX165" s="27"/>
      <c r="AY165" s="27"/>
      <c r="AZ165" s="27"/>
      <c r="BA165" s="27"/>
      <c r="BB165" s="27"/>
      <c r="BC165" s="27"/>
      <c r="BD165" s="27"/>
      <c r="BE165" s="27"/>
      <c r="BF165" s="27"/>
      <c r="BG165" s="27"/>
      <c r="BH165" s="27"/>
      <c r="BI165" s="27"/>
      <c r="BJ165" s="27"/>
      <c r="BK165" s="27"/>
      <c r="BL165" s="27"/>
      <c r="BM165" s="27"/>
      <c r="BN165" s="27"/>
      <c r="BO165" s="27"/>
      <c r="BP165" s="27"/>
      <c r="BQ165" s="27"/>
      <c r="BR165" s="27"/>
      <c r="BS165" s="27"/>
      <c r="BT165" s="27"/>
      <c r="BU165" s="27"/>
      <c r="BV165" s="27"/>
      <c r="BW165" s="27"/>
      <c r="BX165" s="27"/>
      <c r="BY165" s="27"/>
      <c r="BZ165" s="27"/>
      <c r="CA165" s="27"/>
      <c r="CB165" s="27"/>
      <c r="CC165" s="27"/>
      <c r="CD165" s="27"/>
      <c r="CE165" s="27"/>
      <c r="CF165" s="27"/>
      <c r="CG165" s="27"/>
      <c r="CH165" s="27"/>
      <c r="CI165" s="27"/>
      <c r="CJ165" s="27"/>
      <c r="CK165" s="27"/>
      <c r="CL165" s="27"/>
      <c r="CM165" s="27"/>
      <c r="CN165" s="27"/>
      <c r="CO165" s="27"/>
      <c r="CP165" s="27"/>
      <c r="CQ165" s="27"/>
      <c r="CR165" s="27"/>
      <c r="CS165" s="27"/>
      <c r="CT165" s="27"/>
      <c r="CU165" s="27"/>
      <c r="CV165" s="27"/>
      <c r="CW165" s="27"/>
      <c r="CX165" s="27"/>
      <c r="CY165" s="27"/>
      <c r="CZ165" s="27"/>
      <c r="DA165" s="27"/>
      <c r="DB165" s="27"/>
      <c r="DC165" s="27"/>
      <c r="DD165" s="27"/>
      <c r="DE165" s="27"/>
      <c r="DF165" s="27"/>
      <c r="DG165" s="27"/>
      <c r="DH165" s="27"/>
      <c r="DI165" s="27"/>
      <c r="DJ165" s="27"/>
      <c r="DK165" s="27"/>
      <c r="DL165" s="27"/>
      <c r="DM165" s="27"/>
      <c r="DN165" s="27"/>
      <c r="DO165" s="27"/>
      <c r="DP165" s="27"/>
      <c r="DQ165" s="27"/>
      <c r="DR165" s="27"/>
      <c r="DS165" s="27"/>
    </row>
    <row r="166" spans="1:123" ht="33.75" x14ac:dyDescent="0.2">
      <c r="A166" s="102" t="str">
        <f>PLANILHA!A65</f>
        <v xml:space="preserve">12.1 </v>
      </c>
      <c r="B166" s="75" t="str">
        <f>PLANILHA!B65</f>
        <v>CARGA, MANOBRA E DESCARGA DE ENTULHO EM CAMINHÃO BASCULANTE 6 M³ - CARGA COM ESCAVADEIRA HIDRÁULICA (CAÇAMBA DE 0,80 M³ / 111 HP) E DESCARGA LIVRE (UNIDADE: M3). AF_07/2020</v>
      </c>
      <c r="C166" s="32" t="str">
        <f>VLOOKUP(A166,PLANILHA!A:N,3,FALSE)</f>
        <v>m³</v>
      </c>
      <c r="D166" s="33"/>
      <c r="E166" s="33"/>
      <c r="F166" s="33"/>
      <c r="G166" s="33"/>
      <c r="H166" s="33"/>
      <c r="I166" s="33"/>
      <c r="J166" s="33"/>
      <c r="K166" s="33"/>
      <c r="L166" s="33">
        <f>SUM(K167:K168)</f>
        <v>0</v>
      </c>
      <c r="M166" s="34">
        <f>VLOOKUP(A166,PLANILHA!A:N,4,FALSE)</f>
        <v>36</v>
      </c>
      <c r="N166" s="48">
        <f>VLOOKUP(A166,PLANILHA!A:N,7,FALSE)</f>
        <v>27.27</v>
      </c>
      <c r="O166" s="63" t="s">
        <v>114</v>
      </c>
    </row>
    <row r="167" spans="1:123" x14ac:dyDescent="0.2">
      <c r="A167" s="100"/>
      <c r="B167" s="78"/>
      <c r="C167" s="36"/>
      <c r="D167" s="37"/>
      <c r="E167" s="37"/>
      <c r="F167" s="37"/>
      <c r="G167" s="37"/>
      <c r="H167" s="37"/>
      <c r="I167" s="37"/>
      <c r="J167" s="37"/>
      <c r="K167" s="37"/>
      <c r="L167" s="37"/>
      <c r="M167" s="38"/>
      <c r="N167" s="53"/>
      <c r="O167" s="63" t="s">
        <v>114</v>
      </c>
    </row>
    <row r="168" spans="1:123" x14ac:dyDescent="0.2">
      <c r="A168" s="101"/>
      <c r="B168" s="77"/>
      <c r="C168" s="39"/>
      <c r="D168" s="40"/>
      <c r="E168" s="40"/>
      <c r="F168" s="40"/>
      <c r="G168" s="40"/>
      <c r="H168" s="40"/>
      <c r="I168" s="40"/>
      <c r="J168" s="40"/>
      <c r="K168" s="40"/>
      <c r="L168" s="40"/>
      <c r="M168" s="41"/>
      <c r="N168" s="45"/>
      <c r="O168" s="63" t="s">
        <v>114</v>
      </c>
    </row>
    <row r="169" spans="1:123" ht="22.5" x14ac:dyDescent="0.2">
      <c r="A169" s="102" t="str">
        <f>PLANILHA!A66</f>
        <v xml:space="preserve">12.2 </v>
      </c>
      <c r="B169" s="75" t="str">
        <f>PLANILHA!B66</f>
        <v>TRANSPORTE COM CAMINHÃO BASCULANTE DE 6 M³, EM VIA URBANA PAVIMENTADA, DMT ATÉ 30 KM (UNIDADE: M3XKM). AF_07/2020</v>
      </c>
      <c r="C169" s="32" t="str">
        <f>VLOOKUP(A169,PLANILHA!A:N,3,FALSE)</f>
        <v>M3XKM</v>
      </c>
      <c r="D169" s="33"/>
      <c r="E169" s="33"/>
      <c r="F169" s="33"/>
      <c r="G169" s="33"/>
      <c r="H169" s="33"/>
      <c r="I169" s="33"/>
      <c r="J169" s="33"/>
      <c r="K169" s="33"/>
      <c r="L169" s="33">
        <f>SUM(K170:K171)</f>
        <v>0</v>
      </c>
      <c r="M169" s="34">
        <f>VLOOKUP(A169,PLANILHA!A:N,4,FALSE)</f>
        <v>360</v>
      </c>
      <c r="N169" s="48">
        <f>VLOOKUP(A169,PLANILHA!A:N,7,FALSE)</f>
        <v>272.7</v>
      </c>
      <c r="O169" s="63" t="s">
        <v>114</v>
      </c>
    </row>
    <row r="170" spans="1:123" x14ac:dyDescent="0.2">
      <c r="A170" s="100"/>
      <c r="B170" s="78"/>
      <c r="C170" s="36"/>
      <c r="D170" s="37"/>
      <c r="E170" s="37"/>
      <c r="F170" s="37"/>
      <c r="G170" s="37"/>
      <c r="H170" s="37"/>
      <c r="I170" s="37"/>
      <c r="J170" s="37" t="s">
        <v>218</v>
      </c>
      <c r="K170" s="37"/>
      <c r="L170" s="37"/>
      <c r="M170" s="38"/>
      <c r="N170" s="53"/>
      <c r="O170" s="63" t="s">
        <v>114</v>
      </c>
    </row>
    <row r="171" spans="1:123" x14ac:dyDescent="0.2">
      <c r="A171" s="101"/>
      <c r="B171" s="77"/>
      <c r="C171" s="39"/>
      <c r="D171" s="40"/>
      <c r="E171" s="40"/>
      <c r="F171" s="40"/>
      <c r="G171" s="40"/>
      <c r="H171" s="40"/>
      <c r="I171" s="40"/>
      <c r="J171" s="40"/>
      <c r="K171" s="40"/>
      <c r="L171" s="40"/>
      <c r="M171" s="41"/>
      <c r="N171" s="45"/>
      <c r="O171" s="63" t="s">
        <v>114</v>
      </c>
    </row>
    <row r="172" spans="1:123" hidden="1" x14ac:dyDescent="0.2">
      <c r="A172" s="102" t="str">
        <f>PLANILHA!A67</f>
        <v xml:space="preserve">12.3 </v>
      </c>
      <c r="B172" s="75" t="str">
        <f>PLANILHA!B67</f>
        <v>DESMOBILIZAÇÃO DE EQUIPAMENTOS EM CAMINHÃO EQUIPADO COM GUINDASTE</v>
      </c>
      <c r="C172" s="32" t="str">
        <f>VLOOKUP(A172,PLANILHA!A:N,3,FALSE)</f>
        <v>KM</v>
      </c>
      <c r="D172" s="33"/>
      <c r="E172" s="33"/>
      <c r="F172" s="33"/>
      <c r="G172" s="33"/>
      <c r="H172" s="33"/>
      <c r="I172" s="33"/>
      <c r="J172" s="33"/>
      <c r="K172" s="33"/>
      <c r="L172" s="33">
        <f>SUM(K173:K174)</f>
        <v>0</v>
      </c>
      <c r="M172" s="34">
        <f>VLOOKUP(A172,PLANILHA!A:N,4,FALSE)</f>
        <v>50</v>
      </c>
      <c r="N172" s="48">
        <f>VLOOKUP(A172,PLANILHA!A:N,7,FALSE)</f>
        <v>50</v>
      </c>
      <c r="O172" s="63"/>
    </row>
    <row r="173" spans="1:123" hidden="1" x14ac:dyDescent="0.2">
      <c r="A173" s="100"/>
      <c r="B173" s="78"/>
      <c r="C173" s="36"/>
      <c r="D173" s="37"/>
      <c r="E173" s="37"/>
      <c r="F173" s="37"/>
      <c r="G173" s="37"/>
      <c r="H173" s="37"/>
      <c r="I173" s="37"/>
      <c r="J173" s="37"/>
      <c r="K173" s="37"/>
      <c r="L173" s="37"/>
      <c r="M173" s="38"/>
      <c r="N173" s="53"/>
      <c r="O173" s="63"/>
    </row>
    <row r="174" spans="1:123" hidden="1" x14ac:dyDescent="0.2">
      <c r="A174" s="101"/>
      <c r="B174" s="77"/>
      <c r="C174" s="39"/>
      <c r="D174" s="40"/>
      <c r="E174" s="40"/>
      <c r="F174" s="40"/>
      <c r="G174" s="40"/>
      <c r="H174" s="40"/>
      <c r="I174" s="40"/>
      <c r="J174" s="40"/>
      <c r="K174" s="40"/>
      <c r="L174" s="40"/>
      <c r="M174" s="41"/>
      <c r="N174" s="45"/>
      <c r="O174" s="63"/>
    </row>
    <row r="175" spans="1:123" hidden="1" x14ac:dyDescent="0.2">
      <c r="A175" s="102" t="str">
        <f>PLANILHA!A68</f>
        <v xml:space="preserve">12.4 </v>
      </c>
      <c r="B175" s="75" t="str">
        <f>PLANILHA!B68</f>
        <v>LIMPEZA FINAL DE OBRA. INC_05/2019</v>
      </c>
      <c r="C175" s="32" t="str">
        <f>VLOOKUP(A175,PLANILHA!A:N,3,FALSE)</f>
        <v>m²</v>
      </c>
      <c r="D175" s="33"/>
      <c r="E175" s="33"/>
      <c r="F175" s="33"/>
      <c r="G175" s="33"/>
      <c r="H175" s="33"/>
      <c r="I175" s="33"/>
      <c r="J175" s="33"/>
      <c r="K175" s="33"/>
      <c r="L175" s="33">
        <f>SUM(K176:K177)</f>
        <v>0</v>
      </c>
      <c r="M175" s="34">
        <f>VLOOKUP(A175,PLANILHA!A:N,4,FALSE)</f>
        <v>657</v>
      </c>
      <c r="N175" s="48">
        <f>VLOOKUP(A175,PLANILHA!A:N,7,FALSE)</f>
        <v>657</v>
      </c>
      <c r="O175" s="63"/>
    </row>
    <row r="176" spans="1:123" hidden="1" x14ac:dyDescent="0.2">
      <c r="A176" s="100"/>
      <c r="B176" s="78"/>
      <c r="C176" s="36"/>
      <c r="D176" s="37"/>
      <c r="E176" s="37"/>
      <c r="F176" s="37"/>
      <c r="G176" s="37"/>
      <c r="H176" s="37"/>
      <c r="I176" s="37"/>
      <c r="J176" s="37"/>
      <c r="K176" s="37"/>
      <c r="L176" s="37"/>
      <c r="M176" s="38"/>
      <c r="N176" s="53"/>
      <c r="O176" s="63"/>
    </row>
    <row r="177" spans="1:15" hidden="1" x14ac:dyDescent="0.2">
      <c r="A177" s="101"/>
      <c r="B177" s="77"/>
      <c r="C177" s="39"/>
      <c r="D177" s="40"/>
      <c r="E177" s="40"/>
      <c r="F177" s="40"/>
      <c r="G177" s="40"/>
      <c r="H177" s="40"/>
      <c r="I177" s="40"/>
      <c r="J177" s="40"/>
      <c r="K177" s="40"/>
      <c r="L177" s="40"/>
      <c r="M177" s="41"/>
      <c r="N177" s="45"/>
      <c r="O177" s="63"/>
    </row>
  </sheetData>
  <autoFilter ref="O14:O177" xr:uid="{00000000-0001-0000-0200-000000000000}"/>
  <mergeCells count="8">
    <mergeCell ref="A3:N3"/>
    <mergeCell ref="A4:N4"/>
    <mergeCell ref="A5:N5"/>
    <mergeCell ref="A6:N6"/>
    <mergeCell ref="A13:N13"/>
    <mergeCell ref="A10:N10"/>
    <mergeCell ref="A11:N11"/>
    <mergeCell ref="M7:N7"/>
  </mergeCells>
  <phoneticPr fontId="7" type="noConversion"/>
  <conditionalFormatting sqref="N46 B46:K46 N57 A58:N64 A66:N68 C74:N75 A70:N73 L69:N69 A76:N146 A152:N154 A160:N177 A17:N19 A47:N56 A21:N45 B20:N20">
    <cfRule type="expression" dxfId="34" priority="345">
      <formula>$N17&lt;0</formula>
    </cfRule>
  </conditionalFormatting>
  <conditionalFormatting sqref="H20">
    <cfRule type="expression" dxfId="33" priority="2175">
      <formula>$N21&lt;0</formula>
    </cfRule>
  </conditionalFormatting>
  <conditionalFormatting sqref="L46:M46">
    <cfRule type="expression" dxfId="32" priority="37">
      <formula>$N46&lt;0</formula>
    </cfRule>
  </conditionalFormatting>
  <conditionalFormatting sqref="A46">
    <cfRule type="expression" dxfId="31" priority="36">
      <formula>#REF!&lt;0</formula>
    </cfRule>
  </conditionalFormatting>
  <conditionalFormatting sqref="D57:J57">
    <cfRule type="expression" dxfId="30" priority="30">
      <formula>$N57&lt;0</formula>
    </cfRule>
  </conditionalFormatting>
  <conditionalFormatting sqref="C57">
    <cfRule type="expression" dxfId="29" priority="34">
      <formula>$N57&lt;0</formula>
    </cfRule>
  </conditionalFormatting>
  <conditionalFormatting sqref="B57">
    <cfRule type="expression" dxfId="28" priority="31">
      <formula>$N57&lt;0</formula>
    </cfRule>
  </conditionalFormatting>
  <conditionalFormatting sqref="K57">
    <cfRule type="expression" dxfId="27" priority="28">
      <formula>$N57&lt;0</formula>
    </cfRule>
  </conditionalFormatting>
  <conditionalFormatting sqref="A57">
    <cfRule type="expression" dxfId="26" priority="27">
      <formula>#REF!&lt;0</formula>
    </cfRule>
  </conditionalFormatting>
  <conditionalFormatting sqref="L57:M57">
    <cfRule type="expression" dxfId="25" priority="26">
      <formula>$N57&lt;0</formula>
    </cfRule>
  </conditionalFormatting>
  <conditionalFormatting sqref="N65">
    <cfRule type="expression" dxfId="24" priority="25">
      <formula>$N65&lt;0</formula>
    </cfRule>
  </conditionalFormatting>
  <conditionalFormatting sqref="B65:J65">
    <cfRule type="expression" dxfId="23" priority="24">
      <formula>$N65&lt;0</formula>
    </cfRule>
  </conditionalFormatting>
  <conditionalFormatting sqref="A65">
    <cfRule type="expression" dxfId="22" priority="23">
      <formula>#REF!&lt;0</formula>
    </cfRule>
  </conditionalFormatting>
  <conditionalFormatting sqref="L65:M65">
    <cfRule type="expression" dxfId="21" priority="22">
      <formula>$N65&lt;0</formula>
    </cfRule>
  </conditionalFormatting>
  <conditionalFormatting sqref="K65">
    <cfRule type="expression" dxfId="20" priority="21">
      <formula>$N65&lt;0</formula>
    </cfRule>
  </conditionalFormatting>
  <conditionalFormatting sqref="A74:A75">
    <cfRule type="expression" dxfId="19" priority="20">
      <formula>#REF!&lt;0</formula>
    </cfRule>
  </conditionalFormatting>
  <conditionalFormatting sqref="B74:B75">
    <cfRule type="expression" dxfId="18" priority="19">
      <formula>$N74&lt;0</formula>
    </cfRule>
  </conditionalFormatting>
  <conditionalFormatting sqref="B69:K69">
    <cfRule type="expression" dxfId="17" priority="18">
      <formula>$N69&lt;0</formula>
    </cfRule>
  </conditionalFormatting>
  <conditionalFormatting sqref="A69">
    <cfRule type="expression" dxfId="16" priority="17">
      <formula>#REF!&lt;0</formula>
    </cfRule>
  </conditionalFormatting>
  <conditionalFormatting sqref="A151">
    <cfRule type="expression" dxfId="15" priority="16">
      <formula>#REF!&lt;0</formula>
    </cfRule>
  </conditionalFormatting>
  <conditionalFormatting sqref="N150:N151 L151:M151">
    <cfRule type="expression" dxfId="14" priority="15">
      <formula>$N150&lt;0</formula>
    </cfRule>
  </conditionalFormatting>
  <conditionalFormatting sqref="C150:C151">
    <cfRule type="expression" dxfId="13" priority="14">
      <formula>$N150&lt;0</formula>
    </cfRule>
  </conditionalFormatting>
  <conditionalFormatting sqref="L150:M150 B147:N149">
    <cfRule type="expression" dxfId="12" priority="13">
      <formula>$N147&lt;0</formula>
    </cfRule>
  </conditionalFormatting>
  <conditionalFormatting sqref="B150:B151">
    <cfRule type="expression" dxfId="11" priority="12">
      <formula>$N150&lt;0</formula>
    </cfRule>
  </conditionalFormatting>
  <conditionalFormatting sqref="D150:K151">
    <cfRule type="expression" dxfId="10" priority="11">
      <formula>$N150&lt;0</formula>
    </cfRule>
  </conditionalFormatting>
  <conditionalFormatting sqref="A147:A150">
    <cfRule type="expression" dxfId="9" priority="10">
      <formula>#REF!&lt;0</formula>
    </cfRule>
  </conditionalFormatting>
  <conditionalFormatting sqref="A159">
    <cfRule type="expression" dxfId="8" priority="9">
      <formula>#REF!&lt;0</formula>
    </cfRule>
  </conditionalFormatting>
  <conditionalFormatting sqref="N158:N159 L159:M159">
    <cfRule type="expression" dxfId="7" priority="8">
      <formula>$N158&lt;0</formula>
    </cfRule>
  </conditionalFormatting>
  <conditionalFormatting sqref="C158:C159">
    <cfRule type="expression" dxfId="6" priority="7">
      <formula>$N158&lt;0</formula>
    </cfRule>
  </conditionalFormatting>
  <conditionalFormatting sqref="L158:M158 B155:N157">
    <cfRule type="expression" dxfId="5" priority="6">
      <formula>$N155&lt;0</formula>
    </cfRule>
  </conditionalFormatting>
  <conditionalFormatting sqref="B158:B159">
    <cfRule type="expression" dxfId="4" priority="5">
      <formula>$N158&lt;0</formula>
    </cfRule>
  </conditionalFormatting>
  <conditionalFormatting sqref="D158:K159">
    <cfRule type="expression" dxfId="3" priority="4">
      <formula>$N158&lt;0</formula>
    </cfRule>
  </conditionalFormatting>
  <conditionalFormatting sqref="A155:A158">
    <cfRule type="expression" dxfId="2" priority="3">
      <formula>#REF!&lt;0</formula>
    </cfRule>
  </conditionalFormatting>
  <conditionalFormatting sqref="A20">
    <cfRule type="expression" dxfId="1" priority="2">
      <formula>#REF!&lt;0</formula>
    </cfRule>
  </conditionalFormatting>
  <conditionalFormatting sqref="M8">
    <cfRule type="expression" dxfId="0" priority="1">
      <formula>#REF!&lt;0</formula>
    </cfRule>
  </conditionalFormatting>
  <pageMargins left="0.51181102362204722" right="0.51181102362204722" top="0.78740157480314965" bottom="0.78740157480314965" header="0.31496062992125984" footer="0.31496062992125984"/>
  <pageSetup paperSize="9" scale="49" fitToHeight="0" orientation="portrait" r:id="rId1"/>
  <headerFooter>
    <oddFooter>&amp;L&amp;8&amp;A&amp;C&amp;8SIN - Secretaria da Infraestrutura do Estado do Rio Grande do Norte.
BR 101 KM 0 - Av. Sen. Salgado Filho, S/N - Lagoa Nova, Natal - RN, 59064-901
Fone:(84) 3232-1608 / E-mail: sin@rn.gov.br
&amp;R&amp;8PÁGINA &amp;P/&amp;N</oddFooter>
  </headerFooter>
  <drawing r:id="rId2"/>
  <legacyDrawing r:id="rId3"/>
  <oleObjects>
    <mc:AlternateContent xmlns:mc="http://schemas.openxmlformats.org/markup-compatibility/2006">
      <mc:Choice Requires="x14">
        <oleObject progId="Word.Document.8" shapeId="32769" r:id="rId4">
          <objectPr defaultSize="0" autoPict="0" r:id="rId5">
            <anchor moveWithCells="1">
              <from>
                <xdr:col>0</xdr:col>
                <xdr:colOff>209550</xdr:colOff>
                <xdr:row>1</xdr:row>
                <xdr:rowOff>66675</xdr:rowOff>
              </from>
              <to>
                <xdr:col>1</xdr:col>
                <xdr:colOff>438150</xdr:colOff>
                <xdr:row>6</xdr:row>
                <xdr:rowOff>57150</xdr:rowOff>
              </to>
            </anchor>
          </objectPr>
        </oleObject>
      </mc:Choice>
      <mc:Fallback>
        <oleObject progId="Word.Document.8" shapeId="32769" r:id="rId4"/>
      </mc:Fallback>
    </mc:AlternateContent>
  </oleObjec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Planilhas</vt:lpstr>
      </vt:variant>
      <vt:variant>
        <vt:i4>3</vt:i4>
      </vt:variant>
      <vt:variant>
        <vt:lpstr>Intervalos Nomeados</vt:lpstr>
      </vt:variant>
      <vt:variant>
        <vt:i4>5</vt:i4>
      </vt:variant>
    </vt:vector>
  </HeadingPairs>
  <TitlesOfParts>
    <vt:vector size="8" baseType="lpstr">
      <vt:lpstr>DADOS</vt:lpstr>
      <vt:lpstr>PLANILHA</vt:lpstr>
      <vt:lpstr>M. DE CÁLCULO</vt:lpstr>
      <vt:lpstr>DADOS!Area_de_impressao</vt:lpstr>
      <vt:lpstr>'M. DE CÁLCULO'!Area_de_impressao</vt:lpstr>
      <vt:lpstr>PLANILHA!Area_de_impressao</vt:lpstr>
      <vt:lpstr>'M. DE CÁLCULO'!Titulos_de_impressao</vt:lpstr>
      <vt:lpstr>PLANILHA!Titulos_de_impressao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Engenharia</cp:lastModifiedBy>
  <cp:lastPrinted>2025-06-10T17:14:14Z</cp:lastPrinted>
  <dcterms:created xsi:type="dcterms:W3CDTF">2005-02-15T14:04:27Z</dcterms:created>
  <dcterms:modified xsi:type="dcterms:W3CDTF">2026-06-19T12:23:16Z</dcterms:modified>
</cp:coreProperties>
</file>